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celo\Desktop\tmp\Compras\PREGÃO\Pregão 2026--SEI5677 - Eletrodomésticos\"/>
    </mc:Choice>
  </mc:AlternateContent>
  <xr:revisionPtr revIDLastSave="0" documentId="13_ncr:1_{D393FA47-CBFC-4DD7-BBB1-FE8030F7699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X5" i="1" l="1" a="1"/>
  <c r="BX5" i="1" s="1"/>
  <c r="CP16" i="1"/>
  <c r="CP23" i="1"/>
  <c r="CP29" i="1"/>
  <c r="BZ34" i="1"/>
  <c r="CS34" i="1" s="1"/>
  <c r="CR34" i="1" s="1"/>
  <c r="CO36" i="1"/>
  <c r="CP37" i="1"/>
  <c r="CO37" i="1"/>
  <c r="CO38" i="1"/>
  <c r="CO39" i="1"/>
  <c r="CO40" i="1"/>
  <c r="CP41" i="1"/>
  <c r="BZ44" i="1"/>
  <c r="CO45" i="1"/>
  <c r="CP46" i="1"/>
  <c r="BZ50" i="1"/>
  <c r="CP53" i="1"/>
  <c r="CO53" i="1"/>
  <c r="BZ56" i="1"/>
  <c r="CS56" i="1" s="1"/>
  <c r="CR56" i="1" s="1"/>
  <c r="CP58" i="1"/>
  <c r="CO60" i="1"/>
  <c r="CP61" i="1"/>
  <c r="CO61" i="1"/>
  <c r="BZ62" i="1"/>
  <c r="CS62" i="1" s="1"/>
  <c r="CR62" i="1" s="1"/>
  <c r="CP65" i="1"/>
  <c r="BZ68" i="1"/>
  <c r="CS68" i="1" s="1"/>
  <c r="CR68" i="1" s="1"/>
  <c r="CO72" i="1"/>
  <c r="BZ74" i="1"/>
  <c r="CS74" i="1" s="1"/>
  <c r="CR74" i="1" s="1"/>
  <c r="CP77" i="1"/>
  <c r="CO77" i="1"/>
  <c r="BZ80" i="1"/>
  <c r="CS80" i="1" s="1"/>
  <c r="CR80" i="1" s="1"/>
  <c r="CO82" i="1"/>
  <c r="CO84" i="1"/>
  <c r="CP85" i="1"/>
  <c r="CO85" i="1"/>
  <c r="BZ86" i="1"/>
  <c r="CS86" i="1" s="1"/>
  <c r="CR86" i="1" s="1"/>
  <c r="CP89" i="1"/>
  <c r="BZ92" i="1"/>
  <c r="CS92" i="1" s="1"/>
  <c r="CR92" i="1" s="1"/>
  <c r="CO96" i="1"/>
  <c r="BZ98" i="1"/>
  <c r="CS98" i="1" s="1"/>
  <c r="CR98" i="1" s="1"/>
  <c r="CP101" i="1"/>
  <c r="BZ101" i="1"/>
  <c r="CS101" i="1" s="1"/>
  <c r="CR101" i="1" s="1"/>
  <c r="BZ104" i="1"/>
  <c r="CS104" i="1" s="1"/>
  <c r="CR104" i="1" s="1"/>
  <c r="CO106" i="1"/>
  <c r="CO108" i="1"/>
  <c r="CP109" i="1"/>
  <c r="CO109" i="1"/>
  <c r="BZ110" i="1"/>
  <c r="CS110" i="1" s="1"/>
  <c r="CR110" i="1" s="1"/>
  <c r="CP113" i="1"/>
  <c r="BZ114" i="1"/>
  <c r="CS114" i="1" s="1"/>
  <c r="CR114" i="1" s="1"/>
  <c r="CP115" i="1"/>
  <c r="BZ116" i="1"/>
  <c r="CS116" i="1" s="1"/>
  <c r="CR116" i="1" s="1"/>
  <c r="CO120" i="1"/>
  <c r="BZ122" i="1"/>
  <c r="CS122" i="1" s="1"/>
  <c r="CR122" i="1" s="1"/>
  <c r="CP125" i="1"/>
  <c r="CO125" i="1"/>
  <c r="BZ126" i="1"/>
  <c r="CS126" i="1" s="1"/>
  <c r="CR126" i="1" s="1"/>
  <c r="BZ128" i="1"/>
  <c r="CS128" i="1" s="1"/>
  <c r="CR128" i="1" s="1"/>
  <c r="CO130" i="1"/>
  <c r="CO132" i="1"/>
  <c r="CP133" i="1"/>
  <c r="CO133" i="1"/>
  <c r="BZ134" i="1"/>
  <c r="CS134" i="1" s="1"/>
  <c r="CR134" i="1" s="1"/>
  <c r="CP137" i="1"/>
  <c r="BZ140" i="1"/>
  <c r="CS140" i="1" s="1"/>
  <c r="CR140" i="1" s="1"/>
  <c r="CO144" i="1"/>
  <c r="BZ146" i="1"/>
  <c r="CS146" i="1" s="1"/>
  <c r="CR146" i="1" s="1"/>
  <c r="CP149" i="1"/>
  <c r="BZ149" i="1"/>
  <c r="CS149" i="1" s="1"/>
  <c r="CR149" i="1" s="1"/>
  <c r="BZ150" i="1"/>
  <c r="CS150" i="1" s="1"/>
  <c r="CR150" i="1" s="1"/>
  <c r="BZ152" i="1"/>
  <c r="CS152" i="1" s="1"/>
  <c r="CR152" i="1" s="1"/>
  <c r="CO154" i="1"/>
  <c r="CO156" i="1"/>
  <c r="CP157" i="1"/>
  <c r="CO157" i="1"/>
  <c r="BZ158" i="1"/>
  <c r="CS158" i="1" s="1"/>
  <c r="CR158" i="1" s="1"/>
  <c r="CP161" i="1"/>
  <c r="BZ162" i="1"/>
  <c r="CS162" i="1" s="1"/>
  <c r="CR162" i="1" s="1"/>
  <c r="CP163" i="1"/>
  <c r="BZ164" i="1"/>
  <c r="CS164" i="1" s="1"/>
  <c r="CR164" i="1" s="1"/>
  <c r="CO168" i="1"/>
  <c r="CP169" i="1"/>
  <c r="BZ170" i="1"/>
  <c r="CS170" i="1" s="1"/>
  <c r="CR170" i="1" s="1"/>
  <c r="CP173" i="1"/>
  <c r="CO173" i="1"/>
  <c r="BZ174" i="1"/>
  <c r="CS174" i="1" s="1"/>
  <c r="CR174" i="1" s="1"/>
  <c r="BZ176" i="1"/>
  <c r="CS176" i="1" s="1"/>
  <c r="CR176" i="1" s="1"/>
  <c r="CP178" i="1"/>
  <c r="CO178" i="1"/>
  <c r="CO180" i="1"/>
  <c r="CP181" i="1"/>
  <c r="CO181" i="1"/>
  <c r="BZ182" i="1"/>
  <c r="CS182" i="1" s="1"/>
  <c r="CR182" i="1" s="1"/>
  <c r="CP185" i="1"/>
  <c r="BZ188" i="1"/>
  <c r="CS188" i="1" s="1"/>
  <c r="CR188" i="1" s="1"/>
  <c r="CO192" i="1"/>
  <c r="BZ194" i="1"/>
  <c r="CS194" i="1" s="1"/>
  <c r="CR194" i="1" s="1"/>
  <c r="CP197" i="1"/>
  <c r="BZ197" i="1"/>
  <c r="CS197" i="1" s="1"/>
  <c r="CR197" i="1" s="1"/>
  <c r="BZ198" i="1"/>
  <c r="CS198" i="1" s="1"/>
  <c r="CR198" i="1" s="1"/>
  <c r="BZ200" i="1"/>
  <c r="CS200" i="1" s="1"/>
  <c r="CR200" i="1" s="1"/>
  <c r="CP202" i="1"/>
  <c r="CO202" i="1"/>
  <c r="CO204" i="1"/>
  <c r="CP205" i="1"/>
  <c r="CO205" i="1"/>
  <c r="BZ206" i="1"/>
  <c r="CS206" i="1" s="1"/>
  <c r="CR206" i="1" s="1"/>
  <c r="CP209" i="1"/>
  <c r="BZ210" i="1"/>
  <c r="CS210" i="1" s="1"/>
  <c r="CR210" i="1" s="1"/>
  <c r="CP211" i="1"/>
  <c r="BZ212" i="1"/>
  <c r="CS212" i="1" s="1"/>
  <c r="CR212" i="1" s="1"/>
  <c r="CO216" i="1"/>
  <c r="CP217" i="1"/>
  <c r="BZ218" i="1"/>
  <c r="CS218" i="1" s="1"/>
  <c r="CR218" i="1" s="1"/>
  <c r="CP11" i="1"/>
  <c r="CP15" i="1"/>
  <c r="CP17" i="1"/>
  <c r="CP27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CP12" i="1"/>
  <c r="CP14" i="1"/>
  <c r="CP20" i="1"/>
  <c r="CP24" i="1"/>
  <c r="N221" i="1"/>
  <c r="L221" i="1"/>
  <c r="K221" i="1"/>
  <c r="I221" i="1"/>
  <c r="H221" i="1"/>
  <c r="G221" i="1"/>
  <c r="F221" i="1"/>
  <c r="CP220" i="1"/>
  <c r="CK220" i="1"/>
  <c r="CL220" i="1" s="1"/>
  <c r="CH220" i="1"/>
  <c r="CE220" i="1"/>
  <c r="BP220" i="1"/>
  <c r="BV220" i="1" s="1"/>
  <c r="CI220" i="1" s="1"/>
  <c r="CK219" i="1"/>
  <c r="CL219" i="1" s="1"/>
  <c r="CH219" i="1"/>
  <c r="CE219" i="1"/>
  <c r="BP219" i="1"/>
  <c r="BV219" i="1" s="1"/>
  <c r="CI219" i="1" s="1"/>
  <c r="CP218" i="1"/>
  <c r="CO218" i="1"/>
  <c r="CK218" i="1"/>
  <c r="CL218" i="1" s="1"/>
  <c r="CH218" i="1"/>
  <c r="CE218" i="1"/>
  <c r="BP218" i="1"/>
  <c r="BV218" i="1" s="1"/>
  <c r="CI218" i="1" s="1"/>
  <c r="CK217" i="1"/>
  <c r="CL217" i="1" s="1"/>
  <c r="CH217" i="1"/>
  <c r="CE217" i="1"/>
  <c r="BP217" i="1"/>
  <c r="BV217" i="1" s="1"/>
  <c r="CI217" i="1" s="1"/>
  <c r="CP216" i="1"/>
  <c r="CK216" i="1"/>
  <c r="CL216" i="1" s="1"/>
  <c r="CH216" i="1"/>
  <c r="CE216" i="1"/>
  <c r="BP216" i="1"/>
  <c r="BV216" i="1" s="1"/>
  <c r="CI216" i="1" s="1"/>
  <c r="CK215" i="1"/>
  <c r="CL215" i="1" s="1"/>
  <c r="CH215" i="1"/>
  <c r="CE215" i="1"/>
  <c r="BP215" i="1"/>
  <c r="BV215" i="1" s="1"/>
  <c r="CI215" i="1" s="1"/>
  <c r="CK214" i="1"/>
  <c r="CL214" i="1" s="1"/>
  <c r="CH214" i="1"/>
  <c r="CE214" i="1"/>
  <c r="BP214" i="1"/>
  <c r="BV214" i="1" s="1"/>
  <c r="CI214" i="1" s="1"/>
  <c r="CK213" i="1"/>
  <c r="CL213" i="1" s="1"/>
  <c r="CH213" i="1"/>
  <c r="CE213" i="1"/>
  <c r="BP213" i="1"/>
  <c r="BV213" i="1" s="1"/>
  <c r="CI213" i="1" s="1"/>
  <c r="CP212" i="1"/>
  <c r="CK212" i="1"/>
  <c r="CL212" i="1" s="1"/>
  <c r="CH212" i="1"/>
  <c r="CE212" i="1"/>
  <c r="BP212" i="1"/>
  <c r="BV212" i="1" s="1"/>
  <c r="CI212" i="1" s="1"/>
  <c r="CK211" i="1"/>
  <c r="CL211" i="1" s="1"/>
  <c r="CH211" i="1"/>
  <c r="CE211" i="1"/>
  <c r="BP211" i="1"/>
  <c r="BV211" i="1" s="1"/>
  <c r="CI211" i="1" s="1"/>
  <c r="CP210" i="1"/>
  <c r="CO210" i="1"/>
  <c r="CK210" i="1"/>
  <c r="CL210" i="1" s="1"/>
  <c r="CH210" i="1"/>
  <c r="CE210" i="1"/>
  <c r="BP210" i="1"/>
  <c r="BV210" i="1" s="1"/>
  <c r="CI210" i="1" s="1"/>
  <c r="CK209" i="1"/>
  <c r="CL209" i="1" s="1"/>
  <c r="CH209" i="1"/>
  <c r="CE209" i="1"/>
  <c r="BP209" i="1"/>
  <c r="BV209" i="1" s="1"/>
  <c r="CI209" i="1" s="1"/>
  <c r="CP208" i="1"/>
  <c r="CK208" i="1"/>
  <c r="CL208" i="1" s="1"/>
  <c r="CH208" i="1"/>
  <c r="CE208" i="1"/>
  <c r="BP208" i="1"/>
  <c r="BV208" i="1" s="1"/>
  <c r="CI208" i="1" s="1"/>
  <c r="CK207" i="1"/>
  <c r="CL207" i="1" s="1"/>
  <c r="CH207" i="1"/>
  <c r="CE207" i="1"/>
  <c r="BP207" i="1"/>
  <c r="BV207" i="1" s="1"/>
  <c r="CI207" i="1" s="1"/>
  <c r="CP206" i="1"/>
  <c r="CO206" i="1"/>
  <c r="CK206" i="1"/>
  <c r="CL206" i="1" s="1"/>
  <c r="CH206" i="1"/>
  <c r="CE206" i="1"/>
  <c r="BP206" i="1"/>
  <c r="BV206" i="1" s="1"/>
  <c r="CI206" i="1" s="1"/>
  <c r="CK205" i="1"/>
  <c r="CL205" i="1" s="1"/>
  <c r="CH205" i="1"/>
  <c r="CE205" i="1"/>
  <c r="BZ205" i="1"/>
  <c r="CS205" i="1" s="1"/>
  <c r="CR205" i="1" s="1"/>
  <c r="BP205" i="1"/>
  <c r="BV205" i="1" s="1"/>
  <c r="CI205" i="1" s="1"/>
  <c r="CP204" i="1"/>
  <c r="CK204" i="1"/>
  <c r="CL204" i="1" s="1"/>
  <c r="CH204" i="1"/>
  <c r="CE204" i="1"/>
  <c r="BP204" i="1"/>
  <c r="BV204" i="1" s="1"/>
  <c r="CI204" i="1" s="1"/>
  <c r="CP203" i="1"/>
  <c r="CK203" i="1"/>
  <c r="CL203" i="1" s="1"/>
  <c r="CH203" i="1"/>
  <c r="CE203" i="1"/>
  <c r="BP203" i="1"/>
  <c r="BV203" i="1" s="1"/>
  <c r="CI203" i="1" s="1"/>
  <c r="CK202" i="1"/>
  <c r="CL202" i="1" s="1"/>
  <c r="CH202" i="1"/>
  <c r="CE202" i="1"/>
  <c r="BZ202" i="1"/>
  <c r="CS202" i="1" s="1"/>
  <c r="CR202" i="1" s="1"/>
  <c r="BP202" i="1"/>
  <c r="BV202" i="1" s="1"/>
  <c r="CI202" i="1" s="1"/>
  <c r="CK201" i="1"/>
  <c r="CL201" i="1" s="1"/>
  <c r="CH201" i="1"/>
  <c r="CE201" i="1"/>
  <c r="BP201" i="1"/>
  <c r="BV201" i="1" s="1"/>
  <c r="CI201" i="1" s="1"/>
  <c r="CO200" i="1"/>
  <c r="CK200" i="1"/>
  <c r="CL200" i="1" s="1"/>
  <c r="CH200" i="1"/>
  <c r="CE200" i="1"/>
  <c r="BP200" i="1"/>
  <c r="BV200" i="1" s="1"/>
  <c r="CI200" i="1" s="1"/>
  <c r="CK199" i="1"/>
  <c r="CL199" i="1" s="1"/>
  <c r="CH199" i="1"/>
  <c r="CE199" i="1"/>
  <c r="BP199" i="1"/>
  <c r="BV199" i="1" s="1"/>
  <c r="CI199" i="1" s="1"/>
  <c r="CO198" i="1"/>
  <c r="CK198" i="1"/>
  <c r="CL198" i="1" s="1"/>
  <c r="CH198" i="1"/>
  <c r="CE198" i="1"/>
  <c r="BP198" i="1"/>
  <c r="BV198" i="1" s="1"/>
  <c r="CI198" i="1" s="1"/>
  <c r="CK197" i="1"/>
  <c r="CL197" i="1" s="1"/>
  <c r="CH197" i="1"/>
  <c r="CE197" i="1"/>
  <c r="BP197" i="1"/>
  <c r="BV197" i="1" s="1"/>
  <c r="CI197" i="1" s="1"/>
  <c r="CP196" i="1"/>
  <c r="CK196" i="1"/>
  <c r="CL196" i="1" s="1"/>
  <c r="CH196" i="1"/>
  <c r="CE196" i="1"/>
  <c r="BP196" i="1"/>
  <c r="BV196" i="1" s="1"/>
  <c r="CI196" i="1" s="1"/>
  <c r="CK195" i="1"/>
  <c r="CL195" i="1" s="1"/>
  <c r="CH195" i="1"/>
  <c r="CE195" i="1"/>
  <c r="BP195" i="1"/>
  <c r="BV195" i="1" s="1"/>
  <c r="CI195" i="1" s="1"/>
  <c r="CO194" i="1"/>
  <c r="CK194" i="1"/>
  <c r="CL194" i="1" s="1"/>
  <c r="CH194" i="1"/>
  <c r="CE194" i="1"/>
  <c r="BP194" i="1"/>
  <c r="BV194" i="1" s="1"/>
  <c r="CI194" i="1" s="1"/>
  <c r="CP193" i="1"/>
  <c r="CK193" i="1"/>
  <c r="CL193" i="1" s="1"/>
  <c r="CH193" i="1"/>
  <c r="CE193" i="1"/>
  <c r="BP193" i="1"/>
  <c r="BV193" i="1" s="1"/>
  <c r="CI193" i="1" s="1"/>
  <c r="CP192" i="1"/>
  <c r="CK192" i="1"/>
  <c r="CL192" i="1" s="1"/>
  <c r="CH192" i="1"/>
  <c r="CE192" i="1"/>
  <c r="BP192" i="1"/>
  <c r="BV192" i="1" s="1"/>
  <c r="CI192" i="1" s="1"/>
  <c r="CP191" i="1"/>
  <c r="CK191" i="1"/>
  <c r="CL191" i="1" s="1"/>
  <c r="CH191" i="1"/>
  <c r="CE191" i="1"/>
  <c r="BP191" i="1"/>
  <c r="BV191" i="1" s="1"/>
  <c r="CI191" i="1" s="1"/>
  <c r="CK190" i="1"/>
  <c r="CL190" i="1" s="1"/>
  <c r="CH190" i="1"/>
  <c r="CE190" i="1"/>
  <c r="BP190" i="1"/>
  <c r="BV190" i="1" s="1"/>
  <c r="CI190" i="1" s="1"/>
  <c r="CK189" i="1"/>
  <c r="CL189" i="1" s="1"/>
  <c r="CH189" i="1"/>
  <c r="CE189" i="1"/>
  <c r="BP189" i="1"/>
  <c r="BV189" i="1" s="1"/>
  <c r="CI189" i="1" s="1"/>
  <c r="CK188" i="1"/>
  <c r="CL188" i="1" s="1"/>
  <c r="CH188" i="1"/>
  <c r="CE188" i="1"/>
  <c r="BP188" i="1"/>
  <c r="BV188" i="1" s="1"/>
  <c r="CI188" i="1" s="1"/>
  <c r="CP187" i="1"/>
  <c r="CK187" i="1"/>
  <c r="CL187" i="1" s="1"/>
  <c r="CH187" i="1"/>
  <c r="CE187" i="1"/>
  <c r="BP187" i="1"/>
  <c r="BV187" i="1" s="1"/>
  <c r="CI187" i="1" s="1"/>
  <c r="CP186" i="1"/>
  <c r="CO186" i="1"/>
  <c r="CK186" i="1"/>
  <c r="CL186" i="1" s="1"/>
  <c r="CH186" i="1"/>
  <c r="CE186" i="1"/>
  <c r="BZ186" i="1"/>
  <c r="CS186" i="1" s="1"/>
  <c r="CR186" i="1" s="1"/>
  <c r="BP186" i="1"/>
  <c r="BV186" i="1" s="1"/>
  <c r="CI186" i="1" s="1"/>
  <c r="CK185" i="1"/>
  <c r="CL185" i="1" s="1"/>
  <c r="CH185" i="1"/>
  <c r="CE185" i="1"/>
  <c r="BP185" i="1"/>
  <c r="BV185" i="1" s="1"/>
  <c r="CI185" i="1" s="1"/>
  <c r="CP184" i="1"/>
  <c r="CK184" i="1"/>
  <c r="CL184" i="1" s="1"/>
  <c r="CH184" i="1"/>
  <c r="CE184" i="1"/>
  <c r="BP184" i="1"/>
  <c r="BV184" i="1" s="1"/>
  <c r="CI184" i="1" s="1"/>
  <c r="CK183" i="1"/>
  <c r="CL183" i="1" s="1"/>
  <c r="CH183" i="1"/>
  <c r="CE183" i="1"/>
  <c r="BP183" i="1"/>
  <c r="BV183" i="1" s="1"/>
  <c r="CI183" i="1" s="1"/>
  <c r="CP182" i="1"/>
  <c r="CO182" i="1"/>
  <c r="CK182" i="1"/>
  <c r="CL182" i="1" s="1"/>
  <c r="CH182" i="1"/>
  <c r="CE182" i="1"/>
  <c r="BP182" i="1"/>
  <c r="BV182" i="1" s="1"/>
  <c r="CI182" i="1" s="1"/>
  <c r="CK181" i="1"/>
  <c r="CL181" i="1" s="1"/>
  <c r="CH181" i="1"/>
  <c r="CE181" i="1"/>
  <c r="BP181" i="1"/>
  <c r="BV181" i="1" s="1"/>
  <c r="CI181" i="1" s="1"/>
  <c r="CP180" i="1"/>
  <c r="CK180" i="1"/>
  <c r="CL180" i="1" s="1"/>
  <c r="CH180" i="1"/>
  <c r="CE180" i="1"/>
  <c r="BZ180" i="1"/>
  <c r="CS180" i="1" s="1"/>
  <c r="CR180" i="1" s="1"/>
  <c r="BP180" i="1"/>
  <c r="BV180" i="1" s="1"/>
  <c r="CI180" i="1" s="1"/>
  <c r="CP179" i="1"/>
  <c r="CK179" i="1"/>
  <c r="CL179" i="1" s="1"/>
  <c r="CH179" i="1"/>
  <c r="CE179" i="1"/>
  <c r="BP179" i="1"/>
  <c r="BV179" i="1" s="1"/>
  <c r="CI179" i="1" s="1"/>
  <c r="CK178" i="1"/>
  <c r="CL178" i="1" s="1"/>
  <c r="CH178" i="1"/>
  <c r="CE178" i="1"/>
  <c r="BZ178" i="1"/>
  <c r="CS178" i="1" s="1"/>
  <c r="CR178" i="1" s="1"/>
  <c r="BP178" i="1"/>
  <c r="BV178" i="1" s="1"/>
  <c r="CI178" i="1" s="1"/>
  <c r="CK177" i="1"/>
  <c r="CL177" i="1" s="1"/>
  <c r="CH177" i="1"/>
  <c r="CE177" i="1"/>
  <c r="BP177" i="1"/>
  <c r="BV177" i="1" s="1"/>
  <c r="CI177" i="1" s="1"/>
  <c r="CO176" i="1"/>
  <c r="CK176" i="1"/>
  <c r="CL176" i="1" s="1"/>
  <c r="CH176" i="1"/>
  <c r="CE176" i="1"/>
  <c r="BP176" i="1"/>
  <c r="BV176" i="1" s="1"/>
  <c r="CI176" i="1" s="1"/>
  <c r="CK175" i="1"/>
  <c r="CL175" i="1" s="1"/>
  <c r="CH175" i="1"/>
  <c r="CE175" i="1"/>
  <c r="BP175" i="1"/>
  <c r="BV175" i="1" s="1"/>
  <c r="CI175" i="1" s="1"/>
  <c r="CP174" i="1"/>
  <c r="CO174" i="1"/>
  <c r="CK174" i="1"/>
  <c r="CL174" i="1" s="1"/>
  <c r="CH174" i="1"/>
  <c r="CE174" i="1"/>
  <c r="BP174" i="1"/>
  <c r="BV174" i="1" s="1"/>
  <c r="CI174" i="1" s="1"/>
  <c r="CK173" i="1"/>
  <c r="CL173" i="1" s="1"/>
  <c r="CH173" i="1"/>
  <c r="CE173" i="1"/>
  <c r="BP173" i="1"/>
  <c r="BV173" i="1" s="1"/>
  <c r="CI173" i="1" s="1"/>
  <c r="CP172" i="1"/>
  <c r="CK172" i="1"/>
  <c r="CL172" i="1" s="1"/>
  <c r="CH172" i="1"/>
  <c r="CE172" i="1"/>
  <c r="BP172" i="1"/>
  <c r="BV172" i="1" s="1"/>
  <c r="CI172" i="1" s="1"/>
  <c r="CK171" i="1"/>
  <c r="CL171" i="1" s="1"/>
  <c r="CH171" i="1"/>
  <c r="CE171" i="1"/>
  <c r="BP171" i="1"/>
  <c r="BV171" i="1" s="1"/>
  <c r="CI171" i="1" s="1"/>
  <c r="CP170" i="1"/>
  <c r="CO170" i="1"/>
  <c r="CK170" i="1"/>
  <c r="CL170" i="1" s="1"/>
  <c r="CH170" i="1"/>
  <c r="CE170" i="1"/>
  <c r="BP170" i="1"/>
  <c r="BV170" i="1" s="1"/>
  <c r="CI170" i="1" s="1"/>
  <c r="CK169" i="1"/>
  <c r="CL169" i="1" s="1"/>
  <c r="CH169" i="1"/>
  <c r="CE169" i="1"/>
  <c r="BP169" i="1"/>
  <c r="BV169" i="1" s="1"/>
  <c r="CI169" i="1" s="1"/>
  <c r="CP168" i="1"/>
  <c r="CK168" i="1"/>
  <c r="CL168" i="1" s="1"/>
  <c r="CH168" i="1"/>
  <c r="CE168" i="1"/>
  <c r="BP168" i="1"/>
  <c r="BV168" i="1" s="1"/>
  <c r="CI168" i="1" s="1"/>
  <c r="CP167" i="1"/>
  <c r="CK167" i="1"/>
  <c r="CL167" i="1" s="1"/>
  <c r="CH167" i="1"/>
  <c r="CE167" i="1"/>
  <c r="BP167" i="1"/>
  <c r="BV167" i="1" s="1"/>
  <c r="CI167" i="1" s="1"/>
  <c r="CK166" i="1"/>
  <c r="CL166" i="1" s="1"/>
  <c r="CH166" i="1"/>
  <c r="CE166" i="1"/>
  <c r="BP166" i="1"/>
  <c r="BV166" i="1" s="1"/>
  <c r="CI166" i="1" s="1"/>
  <c r="CK165" i="1"/>
  <c r="CL165" i="1" s="1"/>
  <c r="CH165" i="1"/>
  <c r="CE165" i="1"/>
  <c r="BP165" i="1"/>
  <c r="BV165" i="1" s="1"/>
  <c r="CI165" i="1" s="1"/>
  <c r="CP164" i="1"/>
  <c r="CK164" i="1"/>
  <c r="CL164" i="1" s="1"/>
  <c r="CH164" i="1"/>
  <c r="CE164" i="1"/>
  <c r="BP164" i="1"/>
  <c r="BV164" i="1" s="1"/>
  <c r="CI164" i="1" s="1"/>
  <c r="CK163" i="1"/>
  <c r="CL163" i="1" s="1"/>
  <c r="CH163" i="1"/>
  <c r="CE163" i="1"/>
  <c r="BP163" i="1"/>
  <c r="BV163" i="1" s="1"/>
  <c r="CI163" i="1" s="1"/>
  <c r="CP162" i="1"/>
  <c r="CO162" i="1"/>
  <c r="CK162" i="1"/>
  <c r="CL162" i="1" s="1"/>
  <c r="CH162" i="1"/>
  <c r="CE162" i="1"/>
  <c r="BP162" i="1"/>
  <c r="BV162" i="1" s="1"/>
  <c r="CI162" i="1" s="1"/>
  <c r="CK161" i="1"/>
  <c r="CL161" i="1" s="1"/>
  <c r="CH161" i="1"/>
  <c r="CE161" i="1"/>
  <c r="BP161" i="1"/>
  <c r="BV161" i="1" s="1"/>
  <c r="CI161" i="1" s="1"/>
  <c r="CP160" i="1"/>
  <c r="CK160" i="1"/>
  <c r="CL160" i="1" s="1"/>
  <c r="CH160" i="1"/>
  <c r="CE160" i="1"/>
  <c r="BP160" i="1"/>
  <c r="BV160" i="1" s="1"/>
  <c r="CI160" i="1" s="1"/>
  <c r="CK159" i="1"/>
  <c r="CL159" i="1" s="1"/>
  <c r="CH159" i="1"/>
  <c r="CE159" i="1"/>
  <c r="BP159" i="1"/>
  <c r="BV159" i="1" s="1"/>
  <c r="CI159" i="1" s="1"/>
  <c r="CP158" i="1"/>
  <c r="CO158" i="1"/>
  <c r="CK158" i="1"/>
  <c r="CL158" i="1" s="1"/>
  <c r="CH158" i="1"/>
  <c r="CE158" i="1"/>
  <c r="BP158" i="1"/>
  <c r="BV158" i="1" s="1"/>
  <c r="CI158" i="1" s="1"/>
  <c r="CK157" i="1"/>
  <c r="CL157" i="1" s="1"/>
  <c r="CH157" i="1"/>
  <c r="CE157" i="1"/>
  <c r="BZ157" i="1"/>
  <c r="CS157" i="1" s="1"/>
  <c r="CR157" i="1" s="1"/>
  <c r="BP157" i="1"/>
  <c r="BV157" i="1" s="1"/>
  <c r="CI157" i="1" s="1"/>
  <c r="CP156" i="1"/>
  <c r="CK156" i="1"/>
  <c r="CL156" i="1" s="1"/>
  <c r="CH156" i="1"/>
  <c r="CE156" i="1"/>
  <c r="BP156" i="1"/>
  <c r="BV156" i="1" s="1"/>
  <c r="CI156" i="1" s="1"/>
  <c r="CP155" i="1"/>
  <c r="CK155" i="1"/>
  <c r="CL155" i="1" s="1"/>
  <c r="CH155" i="1"/>
  <c r="CE155" i="1"/>
  <c r="BP155" i="1"/>
  <c r="BV155" i="1" s="1"/>
  <c r="CI155" i="1" s="1"/>
  <c r="CP154" i="1"/>
  <c r="CK154" i="1"/>
  <c r="CL154" i="1" s="1"/>
  <c r="CH154" i="1"/>
  <c r="CE154" i="1"/>
  <c r="BZ154" i="1"/>
  <c r="CS154" i="1" s="1"/>
  <c r="CR154" i="1" s="1"/>
  <c r="BP154" i="1"/>
  <c r="BV154" i="1" s="1"/>
  <c r="CI154" i="1" s="1"/>
  <c r="CK153" i="1"/>
  <c r="CL153" i="1" s="1"/>
  <c r="CH153" i="1"/>
  <c r="CE153" i="1"/>
  <c r="BP153" i="1"/>
  <c r="BV153" i="1" s="1"/>
  <c r="CI153" i="1" s="1"/>
  <c r="CO152" i="1"/>
  <c r="CK152" i="1"/>
  <c r="CL152" i="1" s="1"/>
  <c r="CH152" i="1"/>
  <c r="CE152" i="1"/>
  <c r="BP152" i="1"/>
  <c r="BV152" i="1" s="1"/>
  <c r="CI152" i="1" s="1"/>
  <c r="CK151" i="1"/>
  <c r="CL151" i="1" s="1"/>
  <c r="CH151" i="1"/>
  <c r="CE151" i="1"/>
  <c r="BP151" i="1"/>
  <c r="BV151" i="1" s="1"/>
  <c r="CI151" i="1" s="1"/>
  <c r="CP150" i="1"/>
  <c r="CO150" i="1"/>
  <c r="CK150" i="1"/>
  <c r="CL150" i="1" s="1"/>
  <c r="CH150" i="1"/>
  <c r="CE150" i="1"/>
  <c r="BP150" i="1"/>
  <c r="BV150" i="1" s="1"/>
  <c r="CI150" i="1" s="1"/>
  <c r="CK149" i="1"/>
  <c r="CL149" i="1" s="1"/>
  <c r="CH149" i="1"/>
  <c r="CE149" i="1"/>
  <c r="BP149" i="1"/>
  <c r="BV149" i="1" s="1"/>
  <c r="CI149" i="1" s="1"/>
  <c r="CP148" i="1"/>
  <c r="CK148" i="1"/>
  <c r="CL148" i="1" s="1"/>
  <c r="CH148" i="1"/>
  <c r="CE148" i="1"/>
  <c r="BP148" i="1"/>
  <c r="BV148" i="1" s="1"/>
  <c r="CI148" i="1" s="1"/>
  <c r="CK147" i="1"/>
  <c r="CL147" i="1" s="1"/>
  <c r="CH147" i="1"/>
  <c r="CE147" i="1"/>
  <c r="BP147" i="1"/>
  <c r="BV147" i="1" s="1"/>
  <c r="CI147" i="1" s="1"/>
  <c r="CP146" i="1"/>
  <c r="CO146" i="1"/>
  <c r="CK146" i="1"/>
  <c r="CL146" i="1" s="1"/>
  <c r="CH146" i="1"/>
  <c r="CE146" i="1"/>
  <c r="BP146" i="1"/>
  <c r="BV146" i="1" s="1"/>
  <c r="CI146" i="1" s="1"/>
  <c r="CP145" i="1"/>
  <c r="CK145" i="1"/>
  <c r="CL145" i="1" s="1"/>
  <c r="CH145" i="1"/>
  <c r="CE145" i="1"/>
  <c r="BP145" i="1"/>
  <c r="BV145" i="1" s="1"/>
  <c r="CI145" i="1" s="1"/>
  <c r="CP144" i="1"/>
  <c r="CK144" i="1"/>
  <c r="CL144" i="1" s="1"/>
  <c r="CH144" i="1"/>
  <c r="CE144" i="1"/>
  <c r="BP144" i="1"/>
  <c r="BV144" i="1" s="1"/>
  <c r="CI144" i="1" s="1"/>
  <c r="CP143" i="1"/>
  <c r="CK143" i="1"/>
  <c r="CL143" i="1" s="1"/>
  <c r="CH143" i="1"/>
  <c r="CE143" i="1"/>
  <c r="BP143" i="1"/>
  <c r="BV143" i="1" s="1"/>
  <c r="CI143" i="1" s="1"/>
  <c r="CK142" i="1"/>
  <c r="CL142" i="1" s="1"/>
  <c r="CH142" i="1"/>
  <c r="CE142" i="1"/>
  <c r="BP142" i="1"/>
  <c r="BV142" i="1" s="1"/>
  <c r="CI142" i="1" s="1"/>
  <c r="CK141" i="1"/>
  <c r="CL141" i="1" s="1"/>
  <c r="CH141" i="1"/>
  <c r="CE141" i="1"/>
  <c r="BP141" i="1"/>
  <c r="BV141" i="1" s="1"/>
  <c r="CI141" i="1" s="1"/>
  <c r="CO140" i="1"/>
  <c r="CK140" i="1"/>
  <c r="CL140" i="1" s="1"/>
  <c r="CH140" i="1"/>
  <c r="CE140" i="1"/>
  <c r="BP140" i="1"/>
  <c r="BV140" i="1" s="1"/>
  <c r="CI140" i="1" s="1"/>
  <c r="CP139" i="1"/>
  <c r="CK139" i="1"/>
  <c r="CL139" i="1" s="1"/>
  <c r="CH139" i="1"/>
  <c r="CE139" i="1"/>
  <c r="BP139" i="1"/>
  <c r="BV139" i="1" s="1"/>
  <c r="CI139" i="1" s="1"/>
  <c r="CP138" i="1"/>
  <c r="CO138" i="1"/>
  <c r="CK138" i="1"/>
  <c r="CL138" i="1" s="1"/>
  <c r="CH138" i="1"/>
  <c r="CE138" i="1"/>
  <c r="BZ138" i="1"/>
  <c r="CS138" i="1" s="1"/>
  <c r="CR138" i="1" s="1"/>
  <c r="BP138" i="1"/>
  <c r="BV138" i="1" s="1"/>
  <c r="CI138" i="1" s="1"/>
  <c r="CK137" i="1"/>
  <c r="CL137" i="1" s="1"/>
  <c r="CH137" i="1"/>
  <c r="CE137" i="1"/>
  <c r="BP137" i="1"/>
  <c r="BV137" i="1" s="1"/>
  <c r="CI137" i="1" s="1"/>
  <c r="CP136" i="1"/>
  <c r="CK136" i="1"/>
  <c r="CL136" i="1" s="1"/>
  <c r="CH136" i="1"/>
  <c r="CE136" i="1"/>
  <c r="BP136" i="1"/>
  <c r="BV136" i="1" s="1"/>
  <c r="CI136" i="1" s="1"/>
  <c r="CK135" i="1"/>
  <c r="CL135" i="1" s="1"/>
  <c r="CH135" i="1"/>
  <c r="CE135" i="1"/>
  <c r="BP135" i="1"/>
  <c r="BV135" i="1" s="1"/>
  <c r="CI135" i="1" s="1"/>
  <c r="CP134" i="1"/>
  <c r="CO134" i="1"/>
  <c r="CK134" i="1"/>
  <c r="CL134" i="1" s="1"/>
  <c r="CH134" i="1"/>
  <c r="CE134" i="1"/>
  <c r="BP134" i="1"/>
  <c r="BV134" i="1" s="1"/>
  <c r="CI134" i="1" s="1"/>
  <c r="CK133" i="1"/>
  <c r="CL133" i="1" s="1"/>
  <c r="CH133" i="1"/>
  <c r="CE133" i="1"/>
  <c r="BP133" i="1"/>
  <c r="BV133" i="1" s="1"/>
  <c r="CI133" i="1" s="1"/>
  <c r="CP132" i="1"/>
  <c r="CK132" i="1"/>
  <c r="CL132" i="1" s="1"/>
  <c r="CH132" i="1"/>
  <c r="CE132" i="1"/>
  <c r="BZ132" i="1"/>
  <c r="CS132" i="1" s="1"/>
  <c r="CR132" i="1" s="1"/>
  <c r="BP132" i="1"/>
  <c r="BV132" i="1" s="1"/>
  <c r="CI132" i="1" s="1"/>
  <c r="CP131" i="1"/>
  <c r="CK131" i="1"/>
  <c r="CL131" i="1" s="1"/>
  <c r="CH131" i="1"/>
  <c r="CE131" i="1"/>
  <c r="BP131" i="1"/>
  <c r="BV131" i="1" s="1"/>
  <c r="CI131" i="1" s="1"/>
  <c r="CP130" i="1"/>
  <c r="CK130" i="1"/>
  <c r="CL130" i="1" s="1"/>
  <c r="CH130" i="1"/>
  <c r="CE130" i="1"/>
  <c r="BZ130" i="1"/>
  <c r="CS130" i="1" s="1"/>
  <c r="CR130" i="1" s="1"/>
  <c r="BP130" i="1"/>
  <c r="BV130" i="1" s="1"/>
  <c r="CI130" i="1" s="1"/>
  <c r="CK129" i="1"/>
  <c r="CL129" i="1" s="1"/>
  <c r="CH129" i="1"/>
  <c r="CE129" i="1"/>
  <c r="BP129" i="1"/>
  <c r="BV129" i="1" s="1"/>
  <c r="CI129" i="1" s="1"/>
  <c r="CO128" i="1"/>
  <c r="CK128" i="1"/>
  <c r="CL128" i="1" s="1"/>
  <c r="CH128" i="1"/>
  <c r="CE128" i="1"/>
  <c r="BP128" i="1"/>
  <c r="BV128" i="1" s="1"/>
  <c r="CI128" i="1" s="1"/>
  <c r="CK127" i="1"/>
  <c r="CL127" i="1" s="1"/>
  <c r="CH127" i="1"/>
  <c r="CE127" i="1"/>
  <c r="BP127" i="1"/>
  <c r="BV127" i="1" s="1"/>
  <c r="CI127" i="1" s="1"/>
  <c r="CP126" i="1"/>
  <c r="CO126" i="1"/>
  <c r="CK126" i="1"/>
  <c r="CL126" i="1" s="1"/>
  <c r="CH126" i="1"/>
  <c r="CE126" i="1"/>
  <c r="BP126" i="1"/>
  <c r="BV126" i="1" s="1"/>
  <c r="CI126" i="1" s="1"/>
  <c r="CK125" i="1"/>
  <c r="CL125" i="1" s="1"/>
  <c r="CH125" i="1"/>
  <c r="CE125" i="1"/>
  <c r="BP125" i="1"/>
  <c r="BV125" i="1" s="1"/>
  <c r="CI125" i="1" s="1"/>
  <c r="CP124" i="1"/>
  <c r="CK124" i="1"/>
  <c r="CL124" i="1" s="1"/>
  <c r="CH124" i="1"/>
  <c r="CE124" i="1"/>
  <c r="BP124" i="1"/>
  <c r="BV124" i="1" s="1"/>
  <c r="CI124" i="1" s="1"/>
  <c r="CK123" i="1"/>
  <c r="CL123" i="1" s="1"/>
  <c r="CH123" i="1"/>
  <c r="CE123" i="1"/>
  <c r="BP123" i="1"/>
  <c r="BV123" i="1" s="1"/>
  <c r="CI123" i="1" s="1"/>
  <c r="CP122" i="1"/>
  <c r="CO122" i="1"/>
  <c r="CK122" i="1"/>
  <c r="CL122" i="1" s="1"/>
  <c r="CH122" i="1"/>
  <c r="CE122" i="1"/>
  <c r="BP122" i="1"/>
  <c r="BV122" i="1" s="1"/>
  <c r="CI122" i="1" s="1"/>
  <c r="CP121" i="1"/>
  <c r="CK121" i="1"/>
  <c r="CL121" i="1" s="1"/>
  <c r="CH121" i="1"/>
  <c r="CE121" i="1"/>
  <c r="BP121" i="1"/>
  <c r="BV121" i="1" s="1"/>
  <c r="CI121" i="1" s="1"/>
  <c r="CP120" i="1"/>
  <c r="CK120" i="1"/>
  <c r="CL120" i="1" s="1"/>
  <c r="CH120" i="1"/>
  <c r="CE120" i="1"/>
  <c r="BP120" i="1"/>
  <c r="BV120" i="1" s="1"/>
  <c r="CI120" i="1" s="1"/>
  <c r="CP119" i="1"/>
  <c r="CK119" i="1"/>
  <c r="CL119" i="1" s="1"/>
  <c r="CH119" i="1"/>
  <c r="CE119" i="1"/>
  <c r="BP119" i="1"/>
  <c r="BV119" i="1" s="1"/>
  <c r="CI119" i="1" s="1"/>
  <c r="CP118" i="1"/>
  <c r="CK118" i="1"/>
  <c r="CL118" i="1" s="1"/>
  <c r="CH118" i="1"/>
  <c r="CE118" i="1"/>
  <c r="BP118" i="1"/>
  <c r="BV118" i="1" s="1"/>
  <c r="CI118" i="1" s="1"/>
  <c r="CK117" i="1"/>
  <c r="CL117" i="1" s="1"/>
  <c r="CH117" i="1"/>
  <c r="CE117" i="1"/>
  <c r="BP117" i="1"/>
  <c r="BV117" i="1" s="1"/>
  <c r="CI117" i="1" s="1"/>
  <c r="CP116" i="1"/>
  <c r="CO116" i="1"/>
  <c r="CK116" i="1"/>
  <c r="CL116" i="1" s="1"/>
  <c r="CH116" i="1"/>
  <c r="CE116" i="1"/>
  <c r="BP116" i="1"/>
  <c r="BV116" i="1" s="1"/>
  <c r="CI116" i="1" s="1"/>
  <c r="CK115" i="1"/>
  <c r="CL115" i="1" s="1"/>
  <c r="CH115" i="1"/>
  <c r="CE115" i="1"/>
  <c r="BP115" i="1"/>
  <c r="BV115" i="1" s="1"/>
  <c r="CI115" i="1" s="1"/>
  <c r="CP114" i="1"/>
  <c r="CO114" i="1"/>
  <c r="CK114" i="1"/>
  <c r="CL114" i="1" s="1"/>
  <c r="CH114" i="1"/>
  <c r="CE114" i="1"/>
  <c r="BP114" i="1"/>
  <c r="BV114" i="1" s="1"/>
  <c r="CI114" i="1" s="1"/>
  <c r="CK113" i="1"/>
  <c r="CL113" i="1" s="1"/>
  <c r="CH113" i="1"/>
  <c r="CE113" i="1"/>
  <c r="BP113" i="1"/>
  <c r="BV113" i="1" s="1"/>
  <c r="CI113" i="1" s="1"/>
  <c r="CP112" i="1"/>
  <c r="CK112" i="1"/>
  <c r="CL112" i="1" s="1"/>
  <c r="CH112" i="1"/>
  <c r="CE112" i="1"/>
  <c r="BP112" i="1"/>
  <c r="BV112" i="1" s="1"/>
  <c r="CI112" i="1" s="1"/>
  <c r="CK111" i="1"/>
  <c r="CL111" i="1" s="1"/>
  <c r="CH111" i="1"/>
  <c r="CE111" i="1"/>
  <c r="BP111" i="1"/>
  <c r="BV111" i="1" s="1"/>
  <c r="CI111" i="1" s="1"/>
  <c r="CP110" i="1"/>
  <c r="CO110" i="1"/>
  <c r="CK110" i="1"/>
  <c r="CL110" i="1" s="1"/>
  <c r="CH110" i="1"/>
  <c r="CE110" i="1"/>
  <c r="BP110" i="1"/>
  <c r="BV110" i="1" s="1"/>
  <c r="CI110" i="1" s="1"/>
  <c r="CK109" i="1"/>
  <c r="CL109" i="1" s="1"/>
  <c r="CH109" i="1"/>
  <c r="CE109" i="1"/>
  <c r="BZ109" i="1"/>
  <c r="CS109" i="1" s="1"/>
  <c r="CR109" i="1" s="1"/>
  <c r="BP109" i="1"/>
  <c r="BV109" i="1" s="1"/>
  <c r="CI109" i="1" s="1"/>
  <c r="CP108" i="1"/>
  <c r="CK108" i="1"/>
  <c r="CL108" i="1" s="1"/>
  <c r="CH108" i="1"/>
  <c r="CE108" i="1"/>
  <c r="BP108" i="1"/>
  <c r="BV108" i="1" s="1"/>
  <c r="CI108" i="1" s="1"/>
  <c r="CP107" i="1"/>
  <c r="CK107" i="1"/>
  <c r="CL107" i="1" s="1"/>
  <c r="CH107" i="1"/>
  <c r="CE107" i="1"/>
  <c r="BP107" i="1"/>
  <c r="BV107" i="1" s="1"/>
  <c r="CI107" i="1" s="1"/>
  <c r="CP106" i="1"/>
  <c r="CK106" i="1"/>
  <c r="CL106" i="1" s="1"/>
  <c r="CH106" i="1"/>
  <c r="CE106" i="1"/>
  <c r="BZ106" i="1"/>
  <c r="CS106" i="1" s="1"/>
  <c r="CR106" i="1" s="1"/>
  <c r="BP106" i="1"/>
  <c r="BV106" i="1" s="1"/>
  <c r="CI106" i="1" s="1"/>
  <c r="CK105" i="1"/>
  <c r="CL105" i="1" s="1"/>
  <c r="CH105" i="1"/>
  <c r="CE105" i="1"/>
  <c r="BP105" i="1"/>
  <c r="BV105" i="1" s="1"/>
  <c r="CI105" i="1" s="1"/>
  <c r="CO104" i="1"/>
  <c r="CK104" i="1"/>
  <c r="CL104" i="1" s="1"/>
  <c r="CH104" i="1"/>
  <c r="CE104" i="1"/>
  <c r="BP104" i="1"/>
  <c r="BV104" i="1" s="1"/>
  <c r="CI104" i="1" s="1"/>
  <c r="CK103" i="1"/>
  <c r="CL103" i="1" s="1"/>
  <c r="CH103" i="1"/>
  <c r="CE103" i="1"/>
  <c r="BP103" i="1"/>
  <c r="BV103" i="1" s="1"/>
  <c r="CI103" i="1" s="1"/>
  <c r="CP102" i="1"/>
  <c r="CO102" i="1"/>
  <c r="CK102" i="1"/>
  <c r="CL102" i="1" s="1"/>
  <c r="CH102" i="1"/>
  <c r="CE102" i="1"/>
  <c r="BZ102" i="1"/>
  <c r="CS102" i="1" s="1"/>
  <c r="CR102" i="1" s="1"/>
  <c r="BP102" i="1"/>
  <c r="BV102" i="1" s="1"/>
  <c r="CI102" i="1" s="1"/>
  <c r="CK101" i="1"/>
  <c r="CL101" i="1" s="1"/>
  <c r="CH101" i="1"/>
  <c r="CE101" i="1"/>
  <c r="BP101" i="1"/>
  <c r="BV101" i="1" s="1"/>
  <c r="CI101" i="1" s="1"/>
  <c r="CP100" i="1"/>
  <c r="CK100" i="1"/>
  <c r="CL100" i="1" s="1"/>
  <c r="CH100" i="1"/>
  <c r="CE100" i="1"/>
  <c r="BP100" i="1"/>
  <c r="BV100" i="1" s="1"/>
  <c r="CI100" i="1" s="1"/>
  <c r="CK99" i="1"/>
  <c r="CL99" i="1" s="1"/>
  <c r="CH99" i="1"/>
  <c r="CE99" i="1"/>
  <c r="BP99" i="1"/>
  <c r="BV99" i="1" s="1"/>
  <c r="CI99" i="1" s="1"/>
  <c r="CP98" i="1"/>
  <c r="CO98" i="1"/>
  <c r="CK98" i="1"/>
  <c r="CL98" i="1" s="1"/>
  <c r="CH98" i="1"/>
  <c r="CE98" i="1"/>
  <c r="BP98" i="1"/>
  <c r="BV98" i="1" s="1"/>
  <c r="CI98" i="1" s="1"/>
  <c r="CP97" i="1"/>
  <c r="CK97" i="1"/>
  <c r="CL97" i="1" s="1"/>
  <c r="CH97" i="1"/>
  <c r="CE97" i="1"/>
  <c r="BP97" i="1"/>
  <c r="BV97" i="1" s="1"/>
  <c r="CI97" i="1" s="1"/>
  <c r="CP96" i="1"/>
  <c r="CK96" i="1"/>
  <c r="CL96" i="1" s="1"/>
  <c r="CH96" i="1"/>
  <c r="CE96" i="1"/>
  <c r="BZ96" i="1"/>
  <c r="CS96" i="1" s="1"/>
  <c r="CR96" i="1" s="1"/>
  <c r="BP96" i="1"/>
  <c r="BV96" i="1" s="1"/>
  <c r="CI96" i="1" s="1"/>
  <c r="CP95" i="1"/>
  <c r="CK95" i="1"/>
  <c r="CL95" i="1" s="1"/>
  <c r="CH95" i="1"/>
  <c r="CE95" i="1"/>
  <c r="BP95" i="1"/>
  <c r="BV95" i="1" s="1"/>
  <c r="CI95" i="1" s="1"/>
  <c r="CK94" i="1"/>
  <c r="CL94" i="1" s="1"/>
  <c r="CH94" i="1"/>
  <c r="CE94" i="1"/>
  <c r="BP94" i="1"/>
  <c r="BV94" i="1" s="1"/>
  <c r="CI94" i="1" s="1"/>
  <c r="CK93" i="1"/>
  <c r="CL93" i="1" s="1"/>
  <c r="CH93" i="1"/>
  <c r="CE93" i="1"/>
  <c r="BP93" i="1"/>
  <c r="BV93" i="1" s="1"/>
  <c r="CI93" i="1" s="1"/>
  <c r="CO92" i="1"/>
  <c r="CK92" i="1"/>
  <c r="CL92" i="1" s="1"/>
  <c r="CH92" i="1"/>
  <c r="CE92" i="1"/>
  <c r="BP92" i="1"/>
  <c r="BV92" i="1" s="1"/>
  <c r="CI92" i="1" s="1"/>
  <c r="CP91" i="1"/>
  <c r="CK91" i="1"/>
  <c r="CL91" i="1" s="1"/>
  <c r="CH91" i="1"/>
  <c r="CE91" i="1"/>
  <c r="BP91" i="1"/>
  <c r="BV91" i="1" s="1"/>
  <c r="CI91" i="1" s="1"/>
  <c r="CP90" i="1"/>
  <c r="CO90" i="1"/>
  <c r="CK90" i="1"/>
  <c r="CL90" i="1" s="1"/>
  <c r="CH90" i="1"/>
  <c r="CE90" i="1"/>
  <c r="BZ90" i="1"/>
  <c r="CS90" i="1" s="1"/>
  <c r="CR90" i="1" s="1"/>
  <c r="BP90" i="1"/>
  <c r="BV90" i="1" s="1"/>
  <c r="CI90" i="1" s="1"/>
  <c r="CK89" i="1"/>
  <c r="CL89" i="1" s="1"/>
  <c r="CH89" i="1"/>
  <c r="CE89" i="1"/>
  <c r="BP89" i="1"/>
  <c r="BV89" i="1" s="1"/>
  <c r="CI89" i="1" s="1"/>
  <c r="CP88" i="1"/>
  <c r="CK88" i="1"/>
  <c r="CL88" i="1" s="1"/>
  <c r="CH88" i="1"/>
  <c r="CE88" i="1"/>
  <c r="BP88" i="1"/>
  <c r="BV88" i="1" s="1"/>
  <c r="CI88" i="1" s="1"/>
  <c r="CK87" i="1"/>
  <c r="CL87" i="1" s="1"/>
  <c r="CH87" i="1"/>
  <c r="CE87" i="1"/>
  <c r="BP87" i="1"/>
  <c r="BV87" i="1" s="1"/>
  <c r="CI87" i="1" s="1"/>
  <c r="CP86" i="1"/>
  <c r="CO86" i="1"/>
  <c r="CK86" i="1"/>
  <c r="CL86" i="1" s="1"/>
  <c r="CH86" i="1"/>
  <c r="CE86" i="1"/>
  <c r="BP86" i="1"/>
  <c r="BV86" i="1" s="1"/>
  <c r="CI86" i="1" s="1"/>
  <c r="CK85" i="1"/>
  <c r="CL85" i="1" s="1"/>
  <c r="CH85" i="1"/>
  <c r="CE85" i="1"/>
  <c r="BP85" i="1"/>
  <c r="BV85" i="1" s="1"/>
  <c r="CI85" i="1" s="1"/>
  <c r="CP84" i="1"/>
  <c r="CK84" i="1"/>
  <c r="CL84" i="1" s="1"/>
  <c r="CH84" i="1"/>
  <c r="CE84" i="1"/>
  <c r="BZ84" i="1"/>
  <c r="CS84" i="1" s="1"/>
  <c r="CR84" i="1" s="1"/>
  <c r="BP84" i="1"/>
  <c r="BV84" i="1" s="1"/>
  <c r="CI84" i="1" s="1"/>
  <c r="CP83" i="1"/>
  <c r="CK83" i="1"/>
  <c r="CL83" i="1" s="1"/>
  <c r="CH83" i="1"/>
  <c r="CE83" i="1"/>
  <c r="BP83" i="1"/>
  <c r="BV83" i="1" s="1"/>
  <c r="CI83" i="1" s="1"/>
  <c r="CP82" i="1"/>
  <c r="CK82" i="1"/>
  <c r="CL82" i="1" s="1"/>
  <c r="CH82" i="1"/>
  <c r="CE82" i="1"/>
  <c r="BZ82" i="1"/>
  <c r="CS82" i="1" s="1"/>
  <c r="CR82" i="1" s="1"/>
  <c r="BP82" i="1"/>
  <c r="BV82" i="1" s="1"/>
  <c r="CI82" i="1" s="1"/>
  <c r="CK81" i="1"/>
  <c r="CL81" i="1" s="1"/>
  <c r="CH81" i="1"/>
  <c r="CE81" i="1"/>
  <c r="BP81" i="1"/>
  <c r="BV81" i="1" s="1"/>
  <c r="CI81" i="1" s="1"/>
  <c r="CP80" i="1"/>
  <c r="CO80" i="1"/>
  <c r="CK80" i="1"/>
  <c r="CL80" i="1" s="1"/>
  <c r="CH80" i="1"/>
  <c r="CE80" i="1"/>
  <c r="BP80" i="1"/>
  <c r="BV80" i="1" s="1"/>
  <c r="CI80" i="1" s="1"/>
  <c r="CP79" i="1"/>
  <c r="CK79" i="1"/>
  <c r="CL79" i="1" s="1"/>
  <c r="CH79" i="1"/>
  <c r="CE79" i="1"/>
  <c r="BP79" i="1"/>
  <c r="BV79" i="1" s="1"/>
  <c r="CI79" i="1" s="1"/>
  <c r="CP78" i="1"/>
  <c r="CO78" i="1"/>
  <c r="CK78" i="1"/>
  <c r="CL78" i="1" s="1"/>
  <c r="CH78" i="1"/>
  <c r="CE78" i="1"/>
  <c r="BZ78" i="1"/>
  <c r="CS78" i="1" s="1"/>
  <c r="CR78" i="1" s="1"/>
  <c r="BP78" i="1"/>
  <c r="BV78" i="1" s="1"/>
  <c r="CI78" i="1" s="1"/>
  <c r="CK77" i="1"/>
  <c r="CL77" i="1" s="1"/>
  <c r="CH77" i="1"/>
  <c r="CE77" i="1"/>
  <c r="BP77" i="1"/>
  <c r="BV77" i="1" s="1"/>
  <c r="CI77" i="1" s="1"/>
  <c r="CP76" i="1"/>
  <c r="CK76" i="1"/>
  <c r="CL76" i="1" s="1"/>
  <c r="CH76" i="1"/>
  <c r="CE76" i="1"/>
  <c r="BP76" i="1"/>
  <c r="BV76" i="1" s="1"/>
  <c r="CI76" i="1" s="1"/>
  <c r="CK75" i="1"/>
  <c r="CL75" i="1" s="1"/>
  <c r="CH75" i="1"/>
  <c r="CE75" i="1"/>
  <c r="BP75" i="1"/>
  <c r="BV75" i="1" s="1"/>
  <c r="CI75" i="1" s="1"/>
  <c r="CP74" i="1"/>
  <c r="CO74" i="1"/>
  <c r="CK74" i="1"/>
  <c r="CL74" i="1" s="1"/>
  <c r="CH74" i="1"/>
  <c r="CE74" i="1"/>
  <c r="BP74" i="1"/>
  <c r="BV74" i="1" s="1"/>
  <c r="CI74" i="1" s="1"/>
  <c r="CP73" i="1"/>
  <c r="CK73" i="1"/>
  <c r="CL73" i="1" s="1"/>
  <c r="CH73" i="1"/>
  <c r="CE73" i="1"/>
  <c r="BP73" i="1"/>
  <c r="BV73" i="1" s="1"/>
  <c r="CI73" i="1" s="1"/>
  <c r="CP72" i="1"/>
  <c r="CK72" i="1"/>
  <c r="CL72" i="1" s="1"/>
  <c r="CH72" i="1"/>
  <c r="CE72" i="1"/>
  <c r="BZ72" i="1"/>
  <c r="CS72" i="1" s="1"/>
  <c r="CR72" i="1" s="1"/>
  <c r="BP72" i="1"/>
  <c r="BV72" i="1" s="1"/>
  <c r="CI72" i="1" s="1"/>
  <c r="CP71" i="1"/>
  <c r="CK71" i="1"/>
  <c r="CL71" i="1" s="1"/>
  <c r="CH71" i="1"/>
  <c r="CE71" i="1"/>
  <c r="BP71" i="1"/>
  <c r="BV71" i="1" s="1"/>
  <c r="CI71" i="1" s="1"/>
  <c r="CP70" i="1"/>
  <c r="CK70" i="1"/>
  <c r="CL70" i="1" s="1"/>
  <c r="CH70" i="1"/>
  <c r="CE70" i="1"/>
  <c r="BP70" i="1"/>
  <c r="BV70" i="1" s="1"/>
  <c r="CI70" i="1" s="1"/>
  <c r="CK69" i="1"/>
  <c r="CL69" i="1" s="1"/>
  <c r="CH69" i="1"/>
  <c r="CE69" i="1"/>
  <c r="BP69" i="1"/>
  <c r="BV69" i="1" s="1"/>
  <c r="CI69" i="1" s="1"/>
  <c r="CP68" i="1"/>
  <c r="CO68" i="1"/>
  <c r="CK68" i="1"/>
  <c r="CL68" i="1" s="1"/>
  <c r="CH68" i="1"/>
  <c r="CE68" i="1"/>
  <c r="BP68" i="1"/>
  <c r="BV68" i="1" s="1"/>
  <c r="CI68" i="1" s="1"/>
  <c r="CP67" i="1"/>
  <c r="CK67" i="1"/>
  <c r="CL67" i="1" s="1"/>
  <c r="CH67" i="1"/>
  <c r="CE67" i="1"/>
  <c r="BP67" i="1"/>
  <c r="BV67" i="1" s="1"/>
  <c r="CI67" i="1" s="1"/>
  <c r="CP66" i="1"/>
  <c r="CO66" i="1"/>
  <c r="CK66" i="1"/>
  <c r="CL66" i="1" s="1"/>
  <c r="CH66" i="1"/>
  <c r="CE66" i="1"/>
  <c r="BZ66" i="1"/>
  <c r="CS66" i="1" s="1"/>
  <c r="CR66" i="1" s="1"/>
  <c r="BP66" i="1"/>
  <c r="BV66" i="1" s="1"/>
  <c r="CI66" i="1" s="1"/>
  <c r="CK65" i="1"/>
  <c r="CL65" i="1" s="1"/>
  <c r="CH65" i="1"/>
  <c r="CE65" i="1"/>
  <c r="BP65" i="1"/>
  <c r="BV65" i="1" s="1"/>
  <c r="CI65" i="1" s="1"/>
  <c r="CP64" i="1"/>
  <c r="CK64" i="1"/>
  <c r="CL64" i="1" s="1"/>
  <c r="CH64" i="1"/>
  <c r="CE64" i="1"/>
  <c r="BP64" i="1"/>
  <c r="BV64" i="1" s="1"/>
  <c r="CI64" i="1" s="1"/>
  <c r="CK63" i="1"/>
  <c r="CL63" i="1" s="1"/>
  <c r="CH63" i="1"/>
  <c r="CE63" i="1"/>
  <c r="BP63" i="1"/>
  <c r="BV63" i="1" s="1"/>
  <c r="CI63" i="1" s="1"/>
  <c r="CP62" i="1"/>
  <c r="CO62" i="1"/>
  <c r="CK62" i="1"/>
  <c r="CL62" i="1" s="1"/>
  <c r="CH62" i="1"/>
  <c r="CE62" i="1"/>
  <c r="BP62" i="1"/>
  <c r="BV62" i="1" s="1"/>
  <c r="CI62" i="1" s="1"/>
  <c r="CK61" i="1"/>
  <c r="CL61" i="1" s="1"/>
  <c r="CH61" i="1"/>
  <c r="CE61" i="1"/>
  <c r="BZ61" i="1"/>
  <c r="CS61" i="1" s="1"/>
  <c r="CR61" i="1" s="1"/>
  <c r="BP61" i="1"/>
  <c r="BV61" i="1" s="1"/>
  <c r="CI61" i="1" s="1"/>
  <c r="CP60" i="1"/>
  <c r="CK60" i="1"/>
  <c r="CL60" i="1" s="1"/>
  <c r="CH60" i="1"/>
  <c r="CE60" i="1"/>
  <c r="BP60" i="1"/>
  <c r="BV60" i="1" s="1"/>
  <c r="CI60" i="1" s="1"/>
  <c r="CP59" i="1"/>
  <c r="CK59" i="1"/>
  <c r="CL59" i="1" s="1"/>
  <c r="CH59" i="1"/>
  <c r="CE59" i="1"/>
  <c r="BP59" i="1"/>
  <c r="BV59" i="1" s="1"/>
  <c r="CI59" i="1" s="1"/>
  <c r="CR58" i="1"/>
  <c r="CO58" i="1"/>
  <c r="CH58" i="1"/>
  <c r="CE58" i="1"/>
  <c r="BZ58" i="1"/>
  <c r="BP58" i="1"/>
  <c r="BV58" i="1" s="1"/>
  <c r="CI58" i="1" s="1"/>
  <c r="CR57" i="1"/>
  <c r="CP57" i="1"/>
  <c r="CO57" i="1"/>
  <c r="CH57" i="1"/>
  <c r="CE57" i="1"/>
  <c r="BZ57" i="1"/>
  <c r="BP57" i="1"/>
  <c r="BV57" i="1" s="1"/>
  <c r="CI57" i="1" s="1"/>
  <c r="CP56" i="1"/>
  <c r="CO56" i="1"/>
  <c r="CK56" i="1"/>
  <c r="CL56" i="1" s="1"/>
  <c r="CH56" i="1"/>
  <c r="CE56" i="1"/>
  <c r="BP56" i="1"/>
  <c r="BV56" i="1" s="1"/>
  <c r="CI56" i="1" s="1"/>
  <c r="CP55" i="1"/>
  <c r="CK55" i="1"/>
  <c r="CL55" i="1" s="1"/>
  <c r="CH55" i="1"/>
  <c r="CE55" i="1"/>
  <c r="BP55" i="1"/>
  <c r="BV55" i="1" s="1"/>
  <c r="CI55" i="1" s="1"/>
  <c r="CP54" i="1"/>
  <c r="CO54" i="1"/>
  <c r="CK54" i="1"/>
  <c r="CL54" i="1" s="1"/>
  <c r="CH54" i="1"/>
  <c r="CE54" i="1"/>
  <c r="BZ54" i="1"/>
  <c r="CS54" i="1" s="1"/>
  <c r="CR54" i="1" s="1"/>
  <c r="BP54" i="1"/>
  <c r="BV54" i="1" s="1"/>
  <c r="CI54" i="1" s="1"/>
  <c r="CR53" i="1"/>
  <c r="CH53" i="1"/>
  <c r="CE53" i="1"/>
  <c r="BP53" i="1"/>
  <c r="BV53" i="1" s="1"/>
  <c r="CI53" i="1" s="1"/>
  <c r="CP52" i="1"/>
  <c r="CK52" i="1"/>
  <c r="CL52" i="1" s="1"/>
  <c r="CH52" i="1"/>
  <c r="CE52" i="1"/>
  <c r="BP52" i="1"/>
  <c r="BV52" i="1" s="1"/>
  <c r="CI52" i="1" s="1"/>
  <c r="CK51" i="1"/>
  <c r="CL51" i="1" s="1"/>
  <c r="CH51" i="1"/>
  <c r="CE51" i="1"/>
  <c r="BP51" i="1"/>
  <c r="BV51" i="1" s="1"/>
  <c r="CI51" i="1" s="1"/>
  <c r="CR50" i="1"/>
  <c r="CP50" i="1"/>
  <c r="CO50" i="1"/>
  <c r="CH50" i="1"/>
  <c r="CE50" i="1"/>
  <c r="BP50" i="1"/>
  <c r="BV50" i="1" s="1"/>
  <c r="CI50" i="1" s="1"/>
  <c r="CR49" i="1"/>
  <c r="CP49" i="1"/>
  <c r="CH49" i="1"/>
  <c r="CE49" i="1"/>
  <c r="BP49" i="1"/>
  <c r="BV49" i="1" s="1"/>
  <c r="CI49" i="1" s="1"/>
  <c r="CR48" i="1"/>
  <c r="CH48" i="1"/>
  <c r="CE48" i="1"/>
  <c r="BP48" i="1"/>
  <c r="BV48" i="1" s="1"/>
  <c r="CI48" i="1" s="1"/>
  <c r="CP47" i="1"/>
  <c r="CK47" i="1"/>
  <c r="CL47" i="1" s="1"/>
  <c r="CH47" i="1"/>
  <c r="CE47" i="1"/>
  <c r="BP47" i="1"/>
  <c r="BV47" i="1" s="1"/>
  <c r="CI47" i="1" s="1"/>
  <c r="CR46" i="1"/>
  <c r="CH46" i="1"/>
  <c r="CE46" i="1"/>
  <c r="BP46" i="1"/>
  <c r="BV46" i="1" s="1"/>
  <c r="CI46" i="1" s="1"/>
  <c r="CR45" i="1"/>
  <c r="CP45" i="1"/>
  <c r="CH45" i="1"/>
  <c r="CE45" i="1"/>
  <c r="BP45" i="1"/>
  <c r="BV45" i="1" s="1"/>
  <c r="CI45" i="1" s="1"/>
  <c r="CR44" i="1"/>
  <c r="CO44" i="1"/>
  <c r="CH44" i="1"/>
  <c r="CE44" i="1"/>
  <c r="BP44" i="1"/>
  <c r="BV44" i="1" s="1"/>
  <c r="CI44" i="1" s="1"/>
  <c r="CP43" i="1"/>
  <c r="CK43" i="1"/>
  <c r="CL43" i="1" s="1"/>
  <c r="CH43" i="1"/>
  <c r="CE43" i="1"/>
  <c r="BP43" i="1"/>
  <c r="BV43" i="1" s="1"/>
  <c r="CI43" i="1" s="1"/>
  <c r="CP42" i="1"/>
  <c r="CO42" i="1"/>
  <c r="CK42" i="1"/>
  <c r="CL42" i="1" s="1"/>
  <c r="CH42" i="1"/>
  <c r="CE42" i="1"/>
  <c r="BZ42" i="1"/>
  <c r="CS42" i="1" s="1"/>
  <c r="CR42" i="1" s="1"/>
  <c r="BP42" i="1"/>
  <c r="BV42" i="1" s="1"/>
  <c r="CI42" i="1" s="1"/>
  <c r="CK41" i="1"/>
  <c r="CL41" i="1" s="1"/>
  <c r="CH41" i="1"/>
  <c r="CE41" i="1"/>
  <c r="BP41" i="1"/>
  <c r="BV41" i="1" s="1"/>
  <c r="CI41" i="1" s="1"/>
  <c r="CP40" i="1"/>
  <c r="CH40" i="1"/>
  <c r="CE40" i="1"/>
  <c r="BZ40" i="1"/>
  <c r="CS40" i="1" s="1"/>
  <c r="CR40" i="1" s="1"/>
  <c r="BP40" i="1"/>
  <c r="BV40" i="1" s="1"/>
  <c r="CI40" i="1" s="1"/>
  <c r="CP39" i="1"/>
  <c r="CH39" i="1"/>
  <c r="CE39" i="1"/>
  <c r="BZ39" i="1"/>
  <c r="CS39" i="1" s="1"/>
  <c r="CR39" i="1" s="1"/>
  <c r="BP39" i="1"/>
  <c r="BV39" i="1" s="1"/>
  <c r="CI39" i="1" s="1"/>
  <c r="CP38" i="1"/>
  <c r="CH38" i="1"/>
  <c r="CE38" i="1"/>
  <c r="BZ38" i="1"/>
  <c r="CS38" i="1" s="1"/>
  <c r="CR38" i="1" s="1"/>
  <c r="BP38" i="1"/>
  <c r="BV38" i="1" s="1"/>
  <c r="CI38" i="1" s="1"/>
  <c r="CH37" i="1"/>
  <c r="CE37" i="1"/>
  <c r="BP37" i="1"/>
  <c r="BV37" i="1" s="1"/>
  <c r="CI37" i="1" s="1"/>
  <c r="CH36" i="1"/>
  <c r="CE36" i="1"/>
  <c r="BP36" i="1"/>
  <c r="BV36" i="1" s="1"/>
  <c r="CI36" i="1" s="1"/>
  <c r="CP35" i="1"/>
  <c r="CH35" i="1"/>
  <c r="CE35" i="1"/>
  <c r="BP35" i="1"/>
  <c r="BV35" i="1" s="1"/>
  <c r="CI35" i="1" s="1"/>
  <c r="CP34" i="1"/>
  <c r="CO34" i="1"/>
  <c r="CK34" i="1"/>
  <c r="CL34" i="1" s="1"/>
  <c r="CH34" i="1"/>
  <c r="CE34" i="1"/>
  <c r="BP34" i="1"/>
  <c r="CP33" i="1"/>
  <c r="CO33" i="1"/>
  <c r="CK33" i="1"/>
  <c r="CL33" i="1" s="1"/>
  <c r="CH33" i="1"/>
  <c r="CE33" i="1"/>
  <c r="BZ33" i="1"/>
  <c r="CS33" i="1" s="1"/>
  <c r="CR33" i="1" s="1"/>
  <c r="BP33" i="1"/>
  <c r="CH32" i="1"/>
  <c r="CE32" i="1"/>
  <c r="BP32" i="1"/>
  <c r="CK31" i="1"/>
  <c r="CL31" i="1" s="1"/>
  <c r="CH31" i="1"/>
  <c r="CE31" i="1"/>
  <c r="BP31" i="1"/>
  <c r="CP30" i="1"/>
  <c r="CK30" i="1"/>
  <c r="CL30" i="1" s="1"/>
  <c r="CH30" i="1"/>
  <c r="CE30" i="1"/>
  <c r="BP30" i="1"/>
  <c r="CK29" i="1"/>
  <c r="CL29" i="1" s="1"/>
  <c r="CH29" i="1"/>
  <c r="CE29" i="1"/>
  <c r="BP29" i="1"/>
  <c r="CP28" i="1"/>
  <c r="CK28" i="1"/>
  <c r="CL28" i="1" s="1"/>
  <c r="CH28" i="1"/>
  <c r="CE28" i="1"/>
  <c r="BP28" i="1"/>
  <c r="CK27" i="1"/>
  <c r="CL27" i="1" s="1"/>
  <c r="CH27" i="1"/>
  <c r="CE27" i="1"/>
  <c r="BP27" i="1"/>
  <c r="CK26" i="1"/>
  <c r="CL26" i="1" s="1"/>
  <c r="CH26" i="1"/>
  <c r="CE26" i="1"/>
  <c r="BP26" i="1"/>
  <c r="CK25" i="1"/>
  <c r="CL25" i="1" s="1"/>
  <c r="CH25" i="1"/>
  <c r="CE25" i="1"/>
  <c r="BP25" i="1"/>
  <c r="CK24" i="1"/>
  <c r="CL24" i="1" s="1"/>
  <c r="CH24" i="1"/>
  <c r="CE24" i="1"/>
  <c r="BP24" i="1"/>
  <c r="CK23" i="1"/>
  <c r="CL23" i="1" s="1"/>
  <c r="CH23" i="1"/>
  <c r="CE23" i="1"/>
  <c r="BP23" i="1"/>
  <c r="CK22" i="1"/>
  <c r="CL22" i="1" s="1"/>
  <c r="CH22" i="1"/>
  <c r="CE22" i="1"/>
  <c r="BP22" i="1"/>
  <c r="CK21" i="1"/>
  <c r="CL21" i="1" s="1"/>
  <c r="CH21" i="1"/>
  <c r="CE21" i="1"/>
  <c r="BP21" i="1"/>
  <c r="CK20" i="1"/>
  <c r="CL20" i="1" s="1"/>
  <c r="CH20" i="1"/>
  <c r="CE20" i="1"/>
  <c r="BP20" i="1"/>
  <c r="CK19" i="1"/>
  <c r="CL19" i="1" s="1"/>
  <c r="CH19" i="1"/>
  <c r="CE19" i="1"/>
  <c r="BP19" i="1"/>
  <c r="CK18" i="1"/>
  <c r="CL18" i="1" s="1"/>
  <c r="CH18" i="1"/>
  <c r="CE18" i="1"/>
  <c r="BP18" i="1"/>
  <c r="CK17" i="1"/>
  <c r="CL17" i="1" s="1"/>
  <c r="CH17" i="1"/>
  <c r="CE17" i="1"/>
  <c r="BP17" i="1"/>
  <c r="CK16" i="1"/>
  <c r="CL16" i="1" s="1"/>
  <c r="CH16" i="1"/>
  <c r="CE16" i="1"/>
  <c r="BP16" i="1"/>
  <c r="CK15" i="1"/>
  <c r="CL15" i="1" s="1"/>
  <c r="CH15" i="1"/>
  <c r="CE15" i="1"/>
  <c r="BP15" i="1"/>
  <c r="CK14" i="1"/>
  <c r="CL14" i="1" s="1"/>
  <c r="CH14" i="1"/>
  <c r="CE14" i="1"/>
  <c r="BP14" i="1"/>
  <c r="CK13" i="1"/>
  <c r="CL13" i="1" s="1"/>
  <c r="CH13" i="1"/>
  <c r="CE13" i="1"/>
  <c r="BP13" i="1"/>
  <c r="CK12" i="1"/>
  <c r="CL12" i="1" s="1"/>
  <c r="CH12" i="1"/>
  <c r="CE12" i="1"/>
  <c r="BP12" i="1"/>
  <c r="CK11" i="1"/>
  <c r="CL11" i="1" s="1"/>
  <c r="CH11" i="1"/>
  <c r="CE11" i="1"/>
  <c r="BP11" i="1"/>
  <c r="CK10" i="1"/>
  <c r="CL10" i="1" s="1"/>
  <c r="CH10" i="1"/>
  <c r="CE10" i="1"/>
  <c r="BP10" i="1"/>
  <c r="CK9" i="1"/>
  <c r="CL9" i="1" s="1"/>
  <c r="CH9" i="1"/>
  <c r="CE9" i="1"/>
  <c r="BP9" i="1"/>
  <c r="CK8" i="1"/>
  <c r="CL8" i="1" s="1"/>
  <c r="CH8" i="1"/>
  <c r="CE8" i="1"/>
  <c r="BP8" i="1"/>
  <c r="CK7" i="1"/>
  <c r="CL7" i="1" s="1"/>
  <c r="CH7" i="1"/>
  <c r="CE7" i="1"/>
  <c r="BP7" i="1"/>
  <c r="CK6" i="1"/>
  <c r="CL6" i="1" s="1"/>
  <c r="CH6" i="1"/>
  <c r="CE6" i="1"/>
  <c r="BP6" i="1"/>
  <c r="CK5" i="1"/>
  <c r="CL5" i="1" s="1"/>
  <c r="CH5" i="1"/>
  <c r="CE5" i="1"/>
  <c r="BP5" i="1"/>
  <c r="BZ193" i="1" l="1"/>
  <c r="CS193" i="1" s="1"/>
  <c r="CR193" i="1" s="1"/>
  <c r="CO193" i="1"/>
  <c r="BZ143" i="1"/>
  <c r="CS143" i="1" s="1"/>
  <c r="CR143" i="1" s="1"/>
  <c r="CO143" i="1"/>
  <c r="BZ103" i="1"/>
  <c r="CS103" i="1" s="1"/>
  <c r="CR103" i="1" s="1"/>
  <c r="CO103" i="1"/>
  <c r="CQ103" i="1" s="1"/>
  <c r="CO83" i="1"/>
  <c r="BZ83" i="1"/>
  <c r="CS83" i="1" s="1"/>
  <c r="CR83" i="1" s="1"/>
  <c r="CO43" i="1"/>
  <c r="BZ43" i="1"/>
  <c r="CS43" i="1" s="1"/>
  <c r="CR43" i="1" s="1"/>
  <c r="CO131" i="1"/>
  <c r="CQ131" i="1" s="1"/>
  <c r="BZ131" i="1"/>
  <c r="CS131" i="1" s="1"/>
  <c r="CR131" i="1" s="1"/>
  <c r="CO142" i="1"/>
  <c r="BZ142" i="1"/>
  <c r="CS142" i="1" s="1"/>
  <c r="CR142" i="1" s="1"/>
  <c r="CO73" i="1"/>
  <c r="BZ73" i="1"/>
  <c r="CS73" i="1" s="1"/>
  <c r="CR73" i="1" s="1"/>
  <c r="CO91" i="1"/>
  <c r="BZ91" i="1"/>
  <c r="CS91" i="1" s="1"/>
  <c r="CR91" i="1" s="1"/>
  <c r="BZ71" i="1"/>
  <c r="CS71" i="1" s="1"/>
  <c r="CR71" i="1" s="1"/>
  <c r="CO71" i="1"/>
  <c r="BZ199" i="1"/>
  <c r="CS199" i="1" s="1"/>
  <c r="CR199" i="1" s="1"/>
  <c r="CO199" i="1"/>
  <c r="CQ199" i="1" s="1"/>
  <c r="CO179" i="1"/>
  <c r="CQ179" i="1" s="1"/>
  <c r="BZ179" i="1"/>
  <c r="CS179" i="1" s="1"/>
  <c r="CR179" i="1" s="1"/>
  <c r="CO139" i="1"/>
  <c r="BZ139" i="1"/>
  <c r="CS139" i="1" s="1"/>
  <c r="CR139" i="1" s="1"/>
  <c r="CO70" i="1"/>
  <c r="BZ70" i="1"/>
  <c r="CS70" i="1" s="1"/>
  <c r="CR70" i="1" s="1"/>
  <c r="BZ119" i="1"/>
  <c r="CS119" i="1" s="1"/>
  <c r="CR119" i="1" s="1"/>
  <c r="CO119" i="1"/>
  <c r="CQ119" i="1" s="1"/>
  <c r="CO79" i="1"/>
  <c r="BZ79" i="1"/>
  <c r="CS79" i="1" s="1"/>
  <c r="CR79" i="1" s="1"/>
  <c r="BZ59" i="1"/>
  <c r="CS59" i="1" s="1"/>
  <c r="CR59" i="1" s="1"/>
  <c r="CO59" i="1"/>
  <c r="CQ59" i="1" s="1"/>
  <c r="CO121" i="1"/>
  <c r="CQ121" i="1" s="1"/>
  <c r="BZ121" i="1"/>
  <c r="CS121" i="1" s="1"/>
  <c r="CR121" i="1" s="1"/>
  <c r="CO187" i="1"/>
  <c r="BZ187" i="1"/>
  <c r="CS187" i="1" s="1"/>
  <c r="CR187" i="1" s="1"/>
  <c r="CO118" i="1"/>
  <c r="BZ118" i="1"/>
  <c r="CS118" i="1" s="1"/>
  <c r="CR118" i="1" s="1"/>
  <c r="CO49" i="1"/>
  <c r="BZ49" i="1"/>
  <c r="BZ167" i="1"/>
  <c r="CS167" i="1" s="1"/>
  <c r="CR167" i="1" s="1"/>
  <c r="CO167" i="1"/>
  <c r="CO127" i="1"/>
  <c r="BZ127" i="1"/>
  <c r="CS127" i="1" s="1"/>
  <c r="CR127" i="1" s="1"/>
  <c r="BZ107" i="1"/>
  <c r="CS107" i="1" s="1"/>
  <c r="CR107" i="1" s="1"/>
  <c r="CO107" i="1"/>
  <c r="CQ107" i="1" s="1"/>
  <c r="BZ67" i="1"/>
  <c r="CS67" i="1" s="1"/>
  <c r="CR67" i="1" s="1"/>
  <c r="CO67" i="1"/>
  <c r="BZ191" i="1"/>
  <c r="CS191" i="1" s="1"/>
  <c r="CR191" i="1" s="1"/>
  <c r="CO191" i="1"/>
  <c r="BZ151" i="1"/>
  <c r="CS151" i="1" s="1"/>
  <c r="CR151" i="1" s="1"/>
  <c r="CO151" i="1"/>
  <c r="CO166" i="1"/>
  <c r="BZ166" i="1"/>
  <c r="CS166" i="1" s="1"/>
  <c r="CR166" i="1" s="1"/>
  <c r="BZ97" i="1"/>
  <c r="CS97" i="1" s="1"/>
  <c r="CR97" i="1" s="1"/>
  <c r="CO97" i="1"/>
  <c r="CQ97" i="1" s="1"/>
  <c r="CO47" i="1"/>
  <c r="CQ47" i="1" s="1"/>
  <c r="BZ47" i="1"/>
  <c r="CS47" i="1" s="1"/>
  <c r="CR47" i="1" s="1"/>
  <c r="CO190" i="1"/>
  <c r="BZ190" i="1"/>
  <c r="CS190" i="1" s="1"/>
  <c r="CR190" i="1" s="1"/>
  <c r="CO215" i="1"/>
  <c r="BZ215" i="1"/>
  <c r="CS215" i="1" s="1"/>
  <c r="CR215" i="1" s="1"/>
  <c r="BZ175" i="1"/>
  <c r="CS175" i="1" s="1"/>
  <c r="CR175" i="1" s="1"/>
  <c r="CO175" i="1"/>
  <c r="BZ155" i="1"/>
  <c r="CS155" i="1" s="1"/>
  <c r="CR155" i="1" s="1"/>
  <c r="CO155" i="1"/>
  <c r="CO214" i="1"/>
  <c r="BZ214" i="1"/>
  <c r="CS214" i="1" s="1"/>
  <c r="CR214" i="1" s="1"/>
  <c r="BZ145" i="1"/>
  <c r="CS145" i="1" s="1"/>
  <c r="CR145" i="1" s="1"/>
  <c r="CO145" i="1"/>
  <c r="CQ145" i="1" s="1"/>
  <c r="BZ95" i="1"/>
  <c r="CS95" i="1" s="1"/>
  <c r="CR95" i="1" s="1"/>
  <c r="CO95" i="1"/>
  <c r="BZ55" i="1"/>
  <c r="CS55" i="1" s="1"/>
  <c r="CR55" i="1" s="1"/>
  <c r="CO55" i="1"/>
  <c r="CO35" i="1"/>
  <c r="BZ35" i="1"/>
  <c r="CS35" i="1" s="1"/>
  <c r="CR35" i="1" s="1"/>
  <c r="BZ203" i="1"/>
  <c r="CS203" i="1" s="1"/>
  <c r="CR203" i="1" s="1"/>
  <c r="CO203" i="1"/>
  <c r="CO94" i="1"/>
  <c r="BZ94" i="1"/>
  <c r="CS94" i="1" s="1"/>
  <c r="CR94" i="1" s="1"/>
  <c r="CP214" i="1"/>
  <c r="CQ214" i="1" s="1"/>
  <c r="CO196" i="1"/>
  <c r="CQ196" i="1" s="1"/>
  <c r="BZ196" i="1"/>
  <c r="CS196" i="1" s="1"/>
  <c r="CR196" i="1" s="1"/>
  <c r="CO172" i="1"/>
  <c r="BZ172" i="1"/>
  <c r="CS172" i="1" s="1"/>
  <c r="CR172" i="1" s="1"/>
  <c r="CO148" i="1"/>
  <c r="BZ148" i="1"/>
  <c r="CS148" i="1" s="1"/>
  <c r="CR148" i="1" s="1"/>
  <c r="CO124" i="1"/>
  <c r="CQ124" i="1" s="1"/>
  <c r="BZ124" i="1"/>
  <c r="CS124" i="1" s="1"/>
  <c r="CR124" i="1" s="1"/>
  <c r="CO76" i="1"/>
  <c r="BZ76" i="1"/>
  <c r="CS76" i="1" s="1"/>
  <c r="CR76" i="1" s="1"/>
  <c r="CP189" i="1"/>
  <c r="CP93" i="1"/>
  <c r="CO100" i="1"/>
  <c r="CQ100" i="1" s="1"/>
  <c r="BZ100" i="1"/>
  <c r="CS100" i="1" s="1"/>
  <c r="CR100" i="1" s="1"/>
  <c r="CO52" i="1"/>
  <c r="BZ52" i="1"/>
  <c r="CS52" i="1" s="1"/>
  <c r="CR52" i="1" s="1"/>
  <c r="BZ36" i="1"/>
  <c r="CS36" i="1" s="1"/>
  <c r="CR36" i="1" s="1"/>
  <c r="CP44" i="1"/>
  <c r="BZ77" i="1"/>
  <c r="CS77" i="1" s="1"/>
  <c r="CR77" i="1" s="1"/>
  <c r="CP103" i="1"/>
  <c r="BZ125" i="1"/>
  <c r="CS125" i="1" s="1"/>
  <c r="CR125" i="1" s="1"/>
  <c r="CP128" i="1"/>
  <c r="BZ144" i="1"/>
  <c r="CS144" i="1" s="1"/>
  <c r="CR144" i="1" s="1"/>
  <c r="CP151" i="1"/>
  <c r="CQ151" i="1" s="1"/>
  <c r="BZ173" i="1"/>
  <c r="CS173" i="1" s="1"/>
  <c r="CR173" i="1" s="1"/>
  <c r="CP176" i="1"/>
  <c r="BZ192" i="1"/>
  <c r="CS192" i="1" s="1"/>
  <c r="CR192" i="1" s="1"/>
  <c r="CP199" i="1"/>
  <c r="CP165" i="1"/>
  <c r="CP219" i="1"/>
  <c r="CP171" i="1"/>
  <c r="CP147" i="1"/>
  <c r="CP123" i="1"/>
  <c r="CP99" i="1"/>
  <c r="CP75" i="1"/>
  <c r="CP51" i="1"/>
  <c r="CP195" i="1"/>
  <c r="CP166" i="1"/>
  <c r="CP213" i="1"/>
  <c r="CP141" i="1"/>
  <c r="CO188" i="1"/>
  <c r="CP36" i="1"/>
  <c r="BZ45" i="1"/>
  <c r="BZ60" i="1"/>
  <c r="CS60" i="1" s="1"/>
  <c r="CR60" i="1" s="1"/>
  <c r="BZ85" i="1"/>
  <c r="CS85" i="1" s="1"/>
  <c r="CR85" i="1" s="1"/>
  <c r="CP92" i="1"/>
  <c r="CQ92" i="1" s="1"/>
  <c r="CP94" i="1"/>
  <c r="BZ108" i="1"/>
  <c r="CS108" i="1" s="1"/>
  <c r="CR108" i="1" s="1"/>
  <c r="BZ133" i="1"/>
  <c r="CS133" i="1" s="1"/>
  <c r="CR133" i="1" s="1"/>
  <c r="CP140" i="1"/>
  <c r="CP142" i="1"/>
  <c r="BZ156" i="1"/>
  <c r="CS156" i="1" s="1"/>
  <c r="CR156" i="1" s="1"/>
  <c r="BZ181" i="1"/>
  <c r="CS181" i="1" s="1"/>
  <c r="CR181" i="1" s="1"/>
  <c r="CP188" i="1"/>
  <c r="CP190" i="1"/>
  <c r="CQ190" i="1" s="1"/>
  <c r="BZ204" i="1"/>
  <c r="CS204" i="1" s="1"/>
  <c r="CR204" i="1" s="1"/>
  <c r="CP117" i="1"/>
  <c r="CP215" i="1"/>
  <c r="CP201" i="1"/>
  <c r="CP177" i="1"/>
  <c r="CP129" i="1"/>
  <c r="CP105" i="1"/>
  <c r="CP81" i="1"/>
  <c r="CP69" i="1"/>
  <c r="CO220" i="1"/>
  <c r="BZ220" i="1"/>
  <c r="CS220" i="1" s="1"/>
  <c r="CR220" i="1" s="1"/>
  <c r="BZ37" i="1"/>
  <c r="CS37" i="1" s="1"/>
  <c r="CR37" i="1" s="1"/>
  <c r="BZ53" i="1"/>
  <c r="CP194" i="1"/>
  <c r="CP198" i="1"/>
  <c r="CO208" i="1"/>
  <c r="BZ208" i="1"/>
  <c r="CS208" i="1" s="1"/>
  <c r="CR208" i="1" s="1"/>
  <c r="CO184" i="1"/>
  <c r="CQ184" i="1" s="1"/>
  <c r="BZ184" i="1"/>
  <c r="CS184" i="1" s="1"/>
  <c r="CR184" i="1" s="1"/>
  <c r="CO136" i="1"/>
  <c r="BZ136" i="1"/>
  <c r="CS136" i="1" s="1"/>
  <c r="CR136" i="1" s="1"/>
  <c r="CO112" i="1"/>
  <c r="BZ112" i="1"/>
  <c r="CS112" i="1" s="1"/>
  <c r="CR112" i="1" s="1"/>
  <c r="CO88" i="1"/>
  <c r="CQ88" i="1" s="1"/>
  <c r="BZ88" i="1"/>
  <c r="CS88" i="1" s="1"/>
  <c r="CR88" i="1" s="1"/>
  <c r="CO64" i="1"/>
  <c r="CQ64" i="1" s="1"/>
  <c r="BZ64" i="1"/>
  <c r="CS64" i="1" s="1"/>
  <c r="CR64" i="1" s="1"/>
  <c r="CP48" i="1"/>
  <c r="CO101" i="1"/>
  <c r="CQ101" i="1" s="1"/>
  <c r="CO149" i="1"/>
  <c r="CQ149" i="1" s="1"/>
  <c r="CO197" i="1"/>
  <c r="CP153" i="1"/>
  <c r="CO160" i="1"/>
  <c r="BZ160" i="1"/>
  <c r="CS160" i="1" s="1"/>
  <c r="CR160" i="1" s="1"/>
  <c r="CP104" i="1"/>
  <c r="BZ120" i="1"/>
  <c r="CS120" i="1" s="1"/>
  <c r="CR120" i="1" s="1"/>
  <c r="CP127" i="1"/>
  <c r="CP152" i="1"/>
  <c r="BZ168" i="1"/>
  <c r="CS168" i="1" s="1"/>
  <c r="CR168" i="1" s="1"/>
  <c r="CP175" i="1"/>
  <c r="CP200" i="1"/>
  <c r="CQ200" i="1" s="1"/>
  <c r="BZ216" i="1"/>
  <c r="CS216" i="1" s="1"/>
  <c r="CR216" i="1" s="1"/>
  <c r="CP183" i="1"/>
  <c r="CP159" i="1"/>
  <c r="CP135" i="1"/>
  <c r="CP111" i="1"/>
  <c r="CP87" i="1"/>
  <c r="CP63" i="1"/>
  <c r="CP22" i="1"/>
  <c r="CP207" i="1"/>
  <c r="CO164" i="1"/>
  <c r="CO212" i="1"/>
  <c r="BZ16" i="1"/>
  <c r="CS16" i="1" s="1"/>
  <c r="CR16" i="1" s="1"/>
  <c r="CO16" i="1"/>
  <c r="CQ16" i="1" s="1"/>
  <c r="BZ26" i="1"/>
  <c r="CS26" i="1" s="1"/>
  <c r="CR26" i="1" s="1"/>
  <c r="CO26" i="1"/>
  <c r="BZ14" i="1"/>
  <c r="CS14" i="1" s="1"/>
  <c r="CR14" i="1" s="1"/>
  <c r="CO14" i="1"/>
  <c r="CQ14" i="1" s="1"/>
  <c r="BZ13" i="1"/>
  <c r="CS13" i="1" s="1"/>
  <c r="CR13" i="1" s="1"/>
  <c r="CO13" i="1"/>
  <c r="CQ13" i="1" s="1"/>
  <c r="BZ28" i="1"/>
  <c r="CS28" i="1" s="1"/>
  <c r="CR28" i="1" s="1"/>
  <c r="CO28" i="1"/>
  <c r="BZ25" i="1"/>
  <c r="CS25" i="1" s="1"/>
  <c r="CR25" i="1" s="1"/>
  <c r="CO25" i="1"/>
  <c r="BZ24" i="1"/>
  <c r="CS24" i="1" s="1"/>
  <c r="CR24" i="1" s="1"/>
  <c r="CO24" i="1"/>
  <c r="CQ24" i="1" s="1"/>
  <c r="CO12" i="1"/>
  <c r="CQ12" i="1" s="1"/>
  <c r="BZ12" i="1"/>
  <c r="CS12" i="1" s="1"/>
  <c r="CR12" i="1" s="1"/>
  <c r="BZ22" i="1"/>
  <c r="CS22" i="1" s="1"/>
  <c r="CR22" i="1" s="1"/>
  <c r="CO22" i="1"/>
  <c r="CO21" i="1"/>
  <c r="BZ21" i="1"/>
  <c r="CS21" i="1" s="1"/>
  <c r="CR21" i="1" s="1"/>
  <c r="BZ32" i="1"/>
  <c r="CS32" i="1" s="1"/>
  <c r="CR32" i="1" s="1"/>
  <c r="CO32" i="1"/>
  <c r="CO20" i="1"/>
  <c r="CQ20" i="1" s="1"/>
  <c r="BZ20" i="1"/>
  <c r="CS20" i="1" s="1"/>
  <c r="CR20" i="1" s="1"/>
  <c r="BZ31" i="1"/>
  <c r="CS31" i="1" s="1"/>
  <c r="CR31" i="1" s="1"/>
  <c r="CO31" i="1"/>
  <c r="CQ31" i="1" s="1"/>
  <c r="CO19" i="1"/>
  <c r="BZ19" i="1"/>
  <c r="CS19" i="1" s="1"/>
  <c r="CR19" i="1" s="1"/>
  <c r="BZ30" i="1"/>
  <c r="CS30" i="1" s="1"/>
  <c r="CR30" i="1" s="1"/>
  <c r="CO30" i="1"/>
  <c r="CO18" i="1"/>
  <c r="BZ18" i="1"/>
  <c r="CS18" i="1" s="1"/>
  <c r="CR18" i="1" s="1"/>
  <c r="CP21" i="1"/>
  <c r="CQ21" i="1" s="1"/>
  <c r="CP32" i="1"/>
  <c r="CP19" i="1"/>
  <c r="CP18" i="1"/>
  <c r="CQ18" i="1" s="1"/>
  <c r="CP26" i="1"/>
  <c r="CP31" i="1"/>
  <c r="CP25" i="1"/>
  <c r="CP13" i="1"/>
  <c r="CO10" i="1"/>
  <c r="CO7" i="1"/>
  <c r="CP6" i="1"/>
  <c r="CP5" i="1"/>
  <c r="CP10" i="1"/>
  <c r="CQ204" i="1"/>
  <c r="CQ40" i="1"/>
  <c r="CQ180" i="1"/>
  <c r="CQ85" i="1"/>
  <c r="CQ203" i="1"/>
  <c r="CQ112" i="1"/>
  <c r="CI19" i="1"/>
  <c r="CQ118" i="1"/>
  <c r="CQ120" i="1"/>
  <c r="CQ193" i="1"/>
  <c r="CQ98" i="1"/>
  <c r="CQ188" i="1"/>
  <c r="CQ156" i="1"/>
  <c r="CQ67" i="1"/>
  <c r="CQ144" i="1"/>
  <c r="CQ74" i="1"/>
  <c r="CQ79" i="1"/>
  <c r="CQ84" i="1"/>
  <c r="CQ109" i="1"/>
  <c r="CQ146" i="1"/>
  <c r="CQ91" i="1"/>
  <c r="CQ35" i="1"/>
  <c r="CQ83" i="1"/>
  <c r="CQ150" i="1"/>
  <c r="CQ157" i="1"/>
  <c r="CM198" i="1"/>
  <c r="CQ154" i="1"/>
  <c r="CQ33" i="1"/>
  <c r="CQ62" i="1"/>
  <c r="CQ82" i="1"/>
  <c r="CQ90" i="1"/>
  <c r="CQ136" i="1"/>
  <c r="CI6" i="1"/>
  <c r="CQ174" i="1"/>
  <c r="CQ192" i="1"/>
  <c r="CQ205" i="1"/>
  <c r="CQ108" i="1"/>
  <c r="CQ210" i="1"/>
  <c r="CI31" i="1"/>
  <c r="CI26" i="1"/>
  <c r="CI24" i="1"/>
  <c r="CQ168" i="1"/>
  <c r="CQ181" i="1"/>
  <c r="CI12" i="1"/>
  <c r="CI16" i="1"/>
  <c r="CI18" i="1"/>
  <c r="CI20" i="1"/>
  <c r="CI22" i="1"/>
  <c r="CQ94" i="1"/>
  <c r="CM24" i="1"/>
  <c r="CI30" i="1"/>
  <c r="CQ73" i="1"/>
  <c r="CQ104" i="1"/>
  <c r="CQ132" i="1"/>
  <c r="CM144" i="1"/>
  <c r="CM136" i="1"/>
  <c r="CQ126" i="1"/>
  <c r="CQ139" i="1"/>
  <c r="CQ162" i="1"/>
  <c r="CM174" i="1"/>
  <c r="CM184" i="1"/>
  <c r="CQ198" i="1"/>
  <c r="CM20" i="1"/>
  <c r="CM65" i="1"/>
  <c r="CQ186" i="1"/>
  <c r="CI33" i="1"/>
  <c r="CQ54" i="1"/>
  <c r="CQ60" i="1"/>
  <c r="CQ76" i="1"/>
  <c r="CM95" i="1"/>
  <c r="CQ114" i="1"/>
  <c r="CQ220" i="1"/>
  <c r="CQ36" i="1"/>
  <c r="CQ68" i="1"/>
  <c r="CQ110" i="1"/>
  <c r="CQ202" i="1"/>
  <c r="CQ212" i="1"/>
  <c r="CI15" i="1"/>
  <c r="CI23" i="1"/>
  <c r="CI25" i="1"/>
  <c r="CQ28" i="1"/>
  <c r="CM138" i="1"/>
  <c r="CM160" i="1"/>
  <c r="CQ208" i="1"/>
  <c r="CM216" i="1"/>
  <c r="CI9" i="1"/>
  <c r="CQ78" i="1"/>
  <c r="CQ86" i="1"/>
  <c r="CQ127" i="1"/>
  <c r="CQ130" i="1"/>
  <c r="CQ173" i="1"/>
  <c r="CI32" i="1"/>
  <c r="CI7" i="1"/>
  <c r="CQ70" i="1"/>
  <c r="CQ106" i="1"/>
  <c r="CQ138" i="1"/>
  <c r="CQ216" i="1"/>
  <c r="CI34" i="1"/>
  <c r="CQ37" i="1"/>
  <c r="CQ61" i="1"/>
  <c r="CM96" i="1"/>
  <c r="CQ160" i="1"/>
  <c r="CQ178" i="1"/>
  <c r="CQ42" i="1"/>
  <c r="CQ66" i="1"/>
  <c r="CM109" i="1"/>
  <c r="CM126" i="1"/>
  <c r="CM139" i="1"/>
  <c r="CQ218" i="1"/>
  <c r="CM78" i="1"/>
  <c r="CQ96" i="1"/>
  <c r="CQ133" i="1"/>
  <c r="CM191" i="1"/>
  <c r="CM209" i="1"/>
  <c r="CM11" i="1"/>
  <c r="CM22" i="1"/>
  <c r="CM135" i="1"/>
  <c r="CM156" i="1"/>
  <c r="CM163" i="1"/>
  <c r="CM177" i="1"/>
  <c r="CM52" i="1"/>
  <c r="CI13" i="1"/>
  <c r="CQ38" i="1"/>
  <c r="CQ56" i="1"/>
  <c r="CM71" i="1"/>
  <c r="CQ72" i="1"/>
  <c r="CM108" i="1"/>
  <c r="CQ116" i="1"/>
  <c r="CM125" i="1"/>
  <c r="CQ143" i="1"/>
  <c r="CM159" i="1"/>
  <c r="CQ164" i="1"/>
  <c r="CM173" i="1"/>
  <c r="CM201" i="1"/>
  <c r="CM43" i="1"/>
  <c r="CM7" i="1"/>
  <c r="CM54" i="1"/>
  <c r="CQ55" i="1"/>
  <c r="CM60" i="1"/>
  <c r="CM97" i="1"/>
  <c r="CQ102" i="1"/>
  <c r="CM104" i="1"/>
  <c r="CQ142" i="1"/>
  <c r="CQ167" i="1"/>
  <c r="CM169" i="1"/>
  <c r="CM183" i="1"/>
  <c r="CM197" i="1"/>
  <c r="CM15" i="1"/>
  <c r="CQ32" i="1"/>
  <c r="CM34" i="1"/>
  <c r="CQ52" i="1"/>
  <c r="CM162" i="1"/>
  <c r="CQ191" i="1"/>
  <c r="CM193" i="1"/>
  <c r="CM204" i="1"/>
  <c r="CQ125" i="1"/>
  <c r="CQ152" i="1"/>
  <c r="CQ166" i="1"/>
  <c r="CQ187" i="1"/>
  <c r="CM23" i="1"/>
  <c r="CQ43" i="1"/>
  <c r="CM62" i="1"/>
  <c r="CQ77" i="1"/>
  <c r="CQ80" i="1"/>
  <c r="CM89" i="1"/>
  <c r="CQ148" i="1"/>
  <c r="CM25" i="1"/>
  <c r="CQ34" i="1"/>
  <c r="CM47" i="1"/>
  <c r="CM72" i="1"/>
  <c r="CM113" i="1"/>
  <c r="CM120" i="1"/>
  <c r="CQ134" i="1"/>
  <c r="CM143" i="1"/>
  <c r="CQ172" i="1"/>
  <c r="CQ197" i="1"/>
  <c r="CM210" i="1"/>
  <c r="CQ215" i="1"/>
  <c r="CI17" i="1"/>
  <c r="CI28" i="1"/>
  <c r="CM55" i="1"/>
  <c r="CI29" i="1"/>
  <c r="CM31" i="1"/>
  <c r="CM29" i="1"/>
  <c r="CM105" i="1"/>
  <c r="CM17" i="1"/>
  <c r="CM93" i="1"/>
  <c r="CM82" i="1"/>
  <c r="CM100" i="1"/>
  <c r="CM68" i="1"/>
  <c r="CM75" i="1"/>
  <c r="CM114" i="1"/>
  <c r="CM64" i="1"/>
  <c r="CM106" i="1"/>
  <c r="CM141" i="1"/>
  <c r="CM200" i="1"/>
  <c r="CM98" i="1"/>
  <c r="CM12" i="1"/>
  <c r="CM129" i="1"/>
  <c r="CM90" i="1"/>
  <c r="CM176" i="1"/>
  <c r="CM206" i="1"/>
  <c r="CM14" i="1"/>
  <c r="CM92" i="1"/>
  <c r="CM212" i="1"/>
  <c r="CM69" i="1"/>
  <c r="CM88" i="1"/>
  <c r="CM112" i="1"/>
  <c r="CM171" i="1"/>
  <c r="CM6" i="1"/>
  <c r="CM41" i="1"/>
  <c r="CM123" i="1"/>
  <c r="CM150" i="1"/>
  <c r="CM195" i="1"/>
  <c r="CM16" i="1"/>
  <c r="CM18" i="1"/>
  <c r="CM87" i="1"/>
  <c r="CM111" i="1"/>
  <c r="CM158" i="1"/>
  <c r="CM186" i="1"/>
  <c r="CM194" i="1"/>
  <c r="CM153" i="1"/>
  <c r="CM180" i="1"/>
  <c r="CM132" i="1"/>
  <c r="CM168" i="1"/>
  <c r="CM192" i="1"/>
  <c r="CI27" i="1"/>
  <c r="CM63" i="1"/>
  <c r="CM84" i="1"/>
  <c r="CM152" i="1"/>
  <c r="CM170" i="1"/>
  <c r="CM80" i="1"/>
  <c r="CM81" i="1"/>
  <c r="CM133" i="1"/>
  <c r="CM134" i="1"/>
  <c r="CM147" i="1"/>
  <c r="CM189" i="1"/>
  <c r="CM9" i="1"/>
  <c r="CI14" i="1"/>
  <c r="CM28" i="1"/>
  <c r="CM66" i="1"/>
  <c r="CM99" i="1"/>
  <c r="CM102" i="1"/>
  <c r="CM122" i="1"/>
  <c r="CM208" i="1"/>
  <c r="CI10" i="1"/>
  <c r="CM76" i="1"/>
  <c r="CM94" i="1"/>
  <c r="CM118" i="1"/>
  <c r="CM121" i="1"/>
  <c r="CM165" i="1"/>
  <c r="CM219" i="1"/>
  <c r="CM19" i="1"/>
  <c r="CI8" i="1"/>
  <c r="CM10" i="1"/>
  <c r="CM27" i="1"/>
  <c r="CM61" i="1"/>
  <c r="CM79" i="1"/>
  <c r="CM146" i="1"/>
  <c r="CM172" i="1"/>
  <c r="CM188" i="1"/>
  <c r="CI21" i="1"/>
  <c r="CM110" i="1"/>
  <c r="CM117" i="1"/>
  <c r="CM164" i="1"/>
  <c r="CM213" i="1"/>
  <c r="CM217" i="1"/>
  <c r="CM13" i="1"/>
  <c r="CM26" i="1"/>
  <c r="CM70" i="1"/>
  <c r="CM73" i="1"/>
  <c r="CM74" i="1"/>
  <c r="CM115" i="1"/>
  <c r="CM182" i="1"/>
  <c r="CM190" i="1"/>
  <c r="CM211" i="1"/>
  <c r="CM218" i="1"/>
  <c r="CM8" i="1"/>
  <c r="CI11" i="1"/>
  <c r="CM21" i="1"/>
  <c r="CM86" i="1"/>
  <c r="CM127" i="1"/>
  <c r="CM128" i="1"/>
  <c r="CM140" i="1"/>
  <c r="CM157" i="1"/>
  <c r="CM207" i="1"/>
  <c r="CM215" i="1"/>
  <c r="BV221" i="1"/>
  <c r="CI5" i="1"/>
  <c r="CE221" i="1"/>
  <c r="CM103" i="1"/>
  <c r="CM116" i="1"/>
  <c r="CQ30" i="1"/>
  <c r="CQ122" i="1"/>
  <c r="CM77" i="1"/>
  <c r="CM85" i="1"/>
  <c r="CM101" i="1"/>
  <c r="CP7" i="1"/>
  <c r="CO8" i="1"/>
  <c r="CM5" i="1"/>
  <c r="CQ71" i="1"/>
  <c r="CQ95" i="1"/>
  <c r="CM107" i="1"/>
  <c r="CH221" i="1"/>
  <c r="CL221" i="1"/>
  <c r="CP8" i="1"/>
  <c r="CQ39" i="1"/>
  <c r="CM67" i="1"/>
  <c r="CM83" i="1"/>
  <c r="CM91" i="1"/>
  <c r="CM119" i="1"/>
  <c r="CO5" i="1"/>
  <c r="CM33" i="1"/>
  <c r="CM30" i="1"/>
  <c r="CO9" i="1"/>
  <c r="CM51" i="1"/>
  <c r="CP9" i="1"/>
  <c r="CM42" i="1"/>
  <c r="CM56" i="1"/>
  <c r="CM59" i="1"/>
  <c r="CM130" i="1"/>
  <c r="CM178" i="1"/>
  <c r="CM185" i="1"/>
  <c r="CM214" i="1"/>
  <c r="CM137" i="1"/>
  <c r="CM145" i="1"/>
  <c r="CM199" i="1"/>
  <c r="CQ140" i="1"/>
  <c r="CM151" i="1"/>
  <c r="CQ194" i="1"/>
  <c r="CM205" i="1"/>
  <c r="CM149" i="1"/>
  <c r="CQ158" i="1"/>
  <c r="CM142" i="1"/>
  <c r="CM155" i="1"/>
  <c r="CM175" i="1"/>
  <c r="CM196" i="1"/>
  <c r="CM148" i="1"/>
  <c r="CM161" i="1"/>
  <c r="CQ170" i="1"/>
  <c r="CM181" i="1"/>
  <c r="CM203" i="1"/>
  <c r="CQ206" i="1"/>
  <c r="CM124" i="1"/>
  <c r="CQ128" i="1"/>
  <c r="CM154" i="1"/>
  <c r="CM167" i="1"/>
  <c r="CQ176" i="1"/>
  <c r="CM202" i="1"/>
  <c r="CM187" i="1"/>
  <c r="CM131" i="1"/>
  <c r="CQ155" i="1"/>
  <c r="CM166" i="1"/>
  <c r="CM179" i="1"/>
  <c r="CQ182" i="1"/>
  <c r="CM220" i="1"/>
  <c r="CQ175" i="1" l="1"/>
  <c r="CQ22" i="1"/>
  <c r="CO63" i="1"/>
  <c r="CQ63" i="1" s="1"/>
  <c r="BZ63" i="1"/>
  <c r="CS63" i="1" s="1"/>
  <c r="CR63" i="1" s="1"/>
  <c r="BZ69" i="1"/>
  <c r="CS69" i="1" s="1"/>
  <c r="CR69" i="1" s="1"/>
  <c r="CO69" i="1"/>
  <c r="CQ69" i="1" s="1"/>
  <c r="CO217" i="1"/>
  <c r="CQ217" i="1" s="1"/>
  <c r="BZ217" i="1"/>
  <c r="CS217" i="1" s="1"/>
  <c r="CR217" i="1" s="1"/>
  <c r="CO87" i="1"/>
  <c r="CQ87" i="1" s="1"/>
  <c r="BZ87" i="1"/>
  <c r="CS87" i="1" s="1"/>
  <c r="CR87" i="1" s="1"/>
  <c r="BZ117" i="1"/>
  <c r="CS117" i="1" s="1"/>
  <c r="CR117" i="1" s="1"/>
  <c r="CO117" i="1"/>
  <c r="CQ117" i="1" s="1"/>
  <c r="BZ51" i="1"/>
  <c r="CS51" i="1" s="1"/>
  <c r="CR51" i="1" s="1"/>
  <c r="CO51" i="1"/>
  <c r="CQ51" i="1" s="1"/>
  <c r="BZ219" i="1"/>
  <c r="CS219" i="1" s="1"/>
  <c r="CR219" i="1" s="1"/>
  <c r="CO219" i="1"/>
  <c r="CQ219" i="1" s="1"/>
  <c r="BZ189" i="1"/>
  <c r="CS189" i="1" s="1"/>
  <c r="CR189" i="1" s="1"/>
  <c r="CO189" i="1"/>
  <c r="CQ189" i="1" s="1"/>
  <c r="CO41" i="1"/>
  <c r="CQ41" i="1" s="1"/>
  <c r="BZ41" i="1"/>
  <c r="CS41" i="1" s="1"/>
  <c r="CR41" i="1" s="1"/>
  <c r="CO75" i="1"/>
  <c r="CQ75" i="1" s="1"/>
  <c r="BZ75" i="1"/>
  <c r="CS75" i="1" s="1"/>
  <c r="CR75" i="1" s="1"/>
  <c r="CO81" i="1"/>
  <c r="CQ81" i="1" s="1"/>
  <c r="BZ81" i="1"/>
  <c r="CS81" i="1" s="1"/>
  <c r="CR81" i="1" s="1"/>
  <c r="BZ111" i="1"/>
  <c r="CS111" i="1" s="1"/>
  <c r="CR111" i="1" s="1"/>
  <c r="CO111" i="1"/>
  <c r="CQ111" i="1" s="1"/>
  <c r="BZ105" i="1"/>
  <c r="CS105" i="1" s="1"/>
  <c r="CR105" i="1" s="1"/>
  <c r="CO105" i="1"/>
  <c r="CQ105" i="1" s="1"/>
  <c r="CO65" i="1"/>
  <c r="CQ65" i="1" s="1"/>
  <c r="BZ65" i="1"/>
  <c r="CS65" i="1" s="1"/>
  <c r="CR65" i="1" s="1"/>
  <c r="CO115" i="1"/>
  <c r="CQ115" i="1" s="1"/>
  <c r="BZ115" i="1"/>
  <c r="CS115" i="1" s="1"/>
  <c r="CR115" i="1" s="1"/>
  <c r="CQ25" i="1"/>
  <c r="CO46" i="1"/>
  <c r="BZ46" i="1"/>
  <c r="BZ48" i="1"/>
  <c r="CO48" i="1"/>
  <c r="CO89" i="1"/>
  <c r="CQ89" i="1" s="1"/>
  <c r="BZ89" i="1"/>
  <c r="CS89" i="1" s="1"/>
  <c r="CR89" i="1" s="1"/>
  <c r="BZ141" i="1"/>
  <c r="CS141" i="1" s="1"/>
  <c r="CR141" i="1" s="1"/>
  <c r="CO141" i="1"/>
  <c r="CQ141" i="1" s="1"/>
  <c r="BZ99" i="1"/>
  <c r="CS99" i="1" s="1"/>
  <c r="CR99" i="1" s="1"/>
  <c r="CO99" i="1"/>
  <c r="CQ99" i="1" s="1"/>
  <c r="CO163" i="1"/>
  <c r="CQ163" i="1" s="1"/>
  <c r="BZ163" i="1"/>
  <c r="CS163" i="1" s="1"/>
  <c r="CR163" i="1" s="1"/>
  <c r="CO165" i="1"/>
  <c r="CQ165" i="1" s="1"/>
  <c r="BZ165" i="1"/>
  <c r="CS165" i="1" s="1"/>
  <c r="CR165" i="1" s="1"/>
  <c r="CO135" i="1"/>
  <c r="CQ135" i="1" s="1"/>
  <c r="BZ135" i="1"/>
  <c r="CS135" i="1" s="1"/>
  <c r="CR135" i="1" s="1"/>
  <c r="CO129" i="1"/>
  <c r="CQ129" i="1" s="1"/>
  <c r="BZ129" i="1"/>
  <c r="CS129" i="1" s="1"/>
  <c r="CR129" i="1" s="1"/>
  <c r="BZ113" i="1"/>
  <c r="CS113" i="1" s="1"/>
  <c r="CR113" i="1" s="1"/>
  <c r="CO113" i="1"/>
  <c r="CQ113" i="1" s="1"/>
  <c r="BZ211" i="1"/>
  <c r="CS211" i="1" s="1"/>
  <c r="CR211" i="1" s="1"/>
  <c r="CO211" i="1"/>
  <c r="CQ211" i="1" s="1"/>
  <c r="CO137" i="1"/>
  <c r="CQ137" i="1" s="1"/>
  <c r="BZ137" i="1"/>
  <c r="CS137" i="1" s="1"/>
  <c r="CR137" i="1" s="1"/>
  <c r="BZ213" i="1"/>
  <c r="CS213" i="1" s="1"/>
  <c r="CR213" i="1" s="1"/>
  <c r="CO213" i="1"/>
  <c r="CQ213" i="1" s="1"/>
  <c r="CO123" i="1"/>
  <c r="CQ123" i="1" s="1"/>
  <c r="BZ123" i="1"/>
  <c r="CS123" i="1" s="1"/>
  <c r="CR123" i="1" s="1"/>
  <c r="BZ159" i="1"/>
  <c r="CS159" i="1" s="1"/>
  <c r="CR159" i="1" s="1"/>
  <c r="CO159" i="1"/>
  <c r="CQ159" i="1" s="1"/>
  <c r="CO177" i="1"/>
  <c r="CQ177" i="1" s="1"/>
  <c r="BZ177" i="1"/>
  <c r="CS177" i="1" s="1"/>
  <c r="CR177" i="1" s="1"/>
  <c r="CO161" i="1"/>
  <c r="CQ161" i="1" s="1"/>
  <c r="BZ161" i="1"/>
  <c r="CS161" i="1" s="1"/>
  <c r="CR161" i="1" s="1"/>
  <c r="CO207" i="1"/>
  <c r="CQ207" i="1" s="1"/>
  <c r="BZ207" i="1"/>
  <c r="CS207" i="1" s="1"/>
  <c r="CR207" i="1" s="1"/>
  <c r="CO169" i="1"/>
  <c r="CQ169" i="1" s="1"/>
  <c r="BZ169" i="1"/>
  <c r="CS169" i="1" s="1"/>
  <c r="CR169" i="1" s="1"/>
  <c r="BZ147" i="1"/>
  <c r="CS147" i="1" s="1"/>
  <c r="CR147" i="1" s="1"/>
  <c r="CO147" i="1"/>
  <c r="CQ147" i="1" s="1"/>
  <c r="CO183" i="1"/>
  <c r="CQ183" i="1" s="1"/>
  <c r="BZ183" i="1"/>
  <c r="CS183" i="1" s="1"/>
  <c r="CR183" i="1" s="1"/>
  <c r="BZ153" i="1"/>
  <c r="CS153" i="1" s="1"/>
  <c r="CR153" i="1" s="1"/>
  <c r="CO153" i="1"/>
  <c r="CQ153" i="1" s="1"/>
  <c r="BZ201" i="1"/>
  <c r="CS201" i="1" s="1"/>
  <c r="CR201" i="1" s="1"/>
  <c r="CO201" i="1"/>
  <c r="CQ201" i="1" s="1"/>
  <c r="CO185" i="1"/>
  <c r="CQ185" i="1" s="1"/>
  <c r="BZ185" i="1"/>
  <c r="CS185" i="1" s="1"/>
  <c r="CR185" i="1" s="1"/>
  <c r="CO209" i="1"/>
  <c r="CQ209" i="1" s="1"/>
  <c r="BZ209" i="1"/>
  <c r="CS209" i="1" s="1"/>
  <c r="CR209" i="1" s="1"/>
  <c r="BZ195" i="1"/>
  <c r="CS195" i="1" s="1"/>
  <c r="CR195" i="1" s="1"/>
  <c r="CO195" i="1"/>
  <c r="CQ195" i="1" s="1"/>
  <c r="CO171" i="1"/>
  <c r="CQ171" i="1" s="1"/>
  <c r="BZ171" i="1"/>
  <c r="CS171" i="1" s="1"/>
  <c r="CR171" i="1" s="1"/>
  <c r="BZ93" i="1"/>
  <c r="CS93" i="1" s="1"/>
  <c r="CR93" i="1" s="1"/>
  <c r="CO93" i="1"/>
  <c r="CQ93" i="1" s="1"/>
  <c r="CQ19" i="1"/>
  <c r="CO23" i="1"/>
  <c r="CQ23" i="1" s="1"/>
  <c r="BZ23" i="1"/>
  <c r="CS23" i="1" s="1"/>
  <c r="CR23" i="1" s="1"/>
  <c r="CO29" i="1"/>
  <c r="CQ29" i="1" s="1"/>
  <c r="BZ29" i="1"/>
  <c r="CS29" i="1" s="1"/>
  <c r="CR29" i="1" s="1"/>
  <c r="CO15" i="1"/>
  <c r="CQ15" i="1" s="1"/>
  <c r="BZ15" i="1"/>
  <c r="CS15" i="1" s="1"/>
  <c r="CR15" i="1" s="1"/>
  <c r="CO27" i="1"/>
  <c r="CQ27" i="1" s="1"/>
  <c r="BZ27" i="1"/>
  <c r="CS27" i="1" s="1"/>
  <c r="CR27" i="1" s="1"/>
  <c r="CO17" i="1"/>
  <c r="CQ17" i="1" s="1"/>
  <c r="BZ17" i="1"/>
  <c r="CS17" i="1" s="1"/>
  <c r="CR17" i="1" s="1"/>
  <c r="CQ26" i="1"/>
  <c r="CO11" i="1"/>
  <c r="CQ11" i="1" s="1"/>
  <c r="BZ11" i="1"/>
  <c r="CS11" i="1" s="1"/>
  <c r="CR11" i="1" s="1"/>
  <c r="CQ5" i="1"/>
  <c r="BZ6" i="1"/>
  <c r="CO6" i="1"/>
  <c r="CQ6" i="1" s="1"/>
  <c r="CI221" i="1"/>
  <c r="CQ7" i="1"/>
  <c r="BZ7" i="1"/>
  <c r="CM221" i="1"/>
  <c r="BZ8" i="1"/>
  <c r="CQ8" i="1"/>
  <c r="CQ10" i="1"/>
  <c r="BZ10" i="1"/>
  <c r="CS10" i="1" s="1"/>
  <c r="CR10" i="1" s="1"/>
  <c r="BZ5" i="1"/>
  <c r="BZ9" i="1"/>
  <c r="CQ9" i="1"/>
  <c r="CS9" i="1" l="1"/>
  <c r="CR9" i="1" s="1"/>
  <c r="CS6" i="1"/>
  <c r="CR6" i="1" s="1"/>
  <c r="CQ221" i="1"/>
  <c r="CO1" i="1" s="1"/>
  <c r="CS8" i="1"/>
  <c r="CR8" i="1" s="1"/>
  <c r="CS7" i="1"/>
  <c r="CR7" i="1" s="1"/>
  <c r="BZ221" i="1"/>
  <c r="BX1" i="1" s="1"/>
  <c r="CS5" i="1"/>
  <c r="CS221" i="1" l="1"/>
  <c r="CR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<sst xmlns="http://schemas.openxmlformats.org/spreadsheetml/2006/main" count="34" uniqueCount="26">
  <si>
    <t>Pesquisa Prévia</t>
  </si>
  <si>
    <t>Média para compra</t>
  </si>
  <si>
    <t>Valor incluído na compra</t>
  </si>
  <si>
    <t>Quant. do item compra</t>
  </si>
  <si>
    <t>Valor total do item</t>
  </si>
  <si>
    <t>Reserva</t>
  </si>
  <si>
    <t>Item TR/Aviso/Edital</t>
  </si>
  <si>
    <t>Referencial</t>
  </si>
  <si>
    <t>Licitação</t>
  </si>
  <si>
    <t>Reserva final</t>
  </si>
  <si>
    <t>Item da Compra</t>
  </si>
  <si>
    <t>Grupo Orçament.</t>
  </si>
  <si>
    <t>Elemento despesa</t>
  </si>
  <si>
    <t>DFD</t>
  </si>
  <si>
    <t>CATMAT</t>
  </si>
  <si>
    <t>Fornecedores</t>
  </si>
  <si>
    <t>Valor</t>
  </si>
  <si>
    <t>Lote/Item</t>
  </si>
  <si>
    <t>Valor unitário</t>
  </si>
  <si>
    <t>Valor total final</t>
  </si>
  <si>
    <t>Diferença</t>
  </si>
  <si>
    <t>Lote</t>
  </si>
  <si>
    <t>Valor final</t>
  </si>
  <si>
    <t>Ação</t>
  </si>
  <si>
    <t>COMPRAS GOV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</si>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</sst>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\-??_-;_-@_-"/>
    <numFmt numFmtId="165" formatCode="0.0000"/>
    <numFmt numFmtId="166" formatCode="_-* #,##0.0000_-;\-* #,##0.0000_-;_-* \-??_-;_-@_-"/>
    <numFmt numFmtId="167" formatCode="_-* #,##0_-;\-* #,##0_-;_-* \-??_-;_-@_-"/>
  </numFmts>
  <fonts count="10" x14ac:knownFonts="1">
    <font>
      <sz val="11"/>
      <color theme="1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Arial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8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4" fillId="0" borderId="0" applyBorder="0" applyProtection="0"/>
  </cellStyleXfs>
  <cellXfs count="42">
    <xf numFmtId="0" fontId="0" fillId="0" borderId="0" xfId="0"/>
    <xf numFmtId="0" fontId="0" fillId="0" borderId="0" xfId="0" applyAlignment="1" applyProtection="1"/>
    <xf numFmtId="0" fontId="1" fillId="2" borderId="0" xfId="0" applyFont="1" applyFill="1" applyAlignment="1" applyProtection="1"/>
    <xf numFmtId="0" fontId="0" fillId="0" borderId="1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center" wrapText="1"/>
    </xf>
    <xf numFmtId="0" fontId="0" fillId="0" borderId="0" xfId="0" applyBorder="1" applyAlignment="1" applyProtection="1"/>
    <xf numFmtId="0" fontId="0" fillId="0" borderId="4" xfId="0" applyBorder="1" applyAlignment="1" applyProtection="1">
      <alignment horizontal="center" wrapText="1"/>
    </xf>
    <xf numFmtId="0" fontId="0" fillId="0" borderId="1" xfId="0" applyFont="1" applyBorder="1" applyAlignment="1" applyProtection="1"/>
    <xf numFmtId="0" fontId="0" fillId="3" borderId="1" xfId="0" applyFill="1" applyBorder="1" applyAlignment="1" applyProtection="1">
      <protection locked="0"/>
    </xf>
    <xf numFmtId="164" fontId="0" fillId="3" borderId="1" xfId="1" applyFont="1" applyFill="1" applyBorder="1" applyAlignment="1" applyProtection="1">
      <protection locked="0"/>
    </xf>
    <xf numFmtId="165" fontId="0" fillId="0" borderId="1" xfId="0" applyNumberFormat="1" applyBorder="1" applyAlignment="1" applyProtection="1"/>
    <xf numFmtId="166" fontId="0" fillId="3" borderId="1" xfId="1" applyNumberFormat="1" applyFont="1" applyFill="1" applyBorder="1" applyAlignment="1" applyProtection="1">
      <protection locked="0"/>
    </xf>
    <xf numFmtId="0" fontId="0" fillId="0" borderId="5" xfId="0" applyBorder="1" applyAlignment="1" applyProtection="1"/>
    <xf numFmtId="164" fontId="0" fillId="0" borderId="1" xfId="1" applyFont="1" applyBorder="1" applyAlignment="1" applyProtection="1"/>
    <xf numFmtId="3" fontId="0" fillId="3" borderId="1" xfId="0" applyNumberFormat="1" applyFill="1" applyBorder="1" applyAlignment="1" applyProtection="1">
      <protection locked="0"/>
    </xf>
    <xf numFmtId="0" fontId="0" fillId="3" borderId="1" xfId="0" applyFill="1" applyBorder="1" applyAlignment="1" applyProtection="1">
      <alignment horizontal="center"/>
      <protection locked="0"/>
    </xf>
    <xf numFmtId="164" fontId="2" fillId="0" borderId="1" xfId="1" applyFont="1" applyBorder="1" applyAlignment="1" applyProtection="1"/>
    <xf numFmtId="0" fontId="0" fillId="0" borderId="1" xfId="0" applyBorder="1" applyAlignment="1" applyProtection="1">
      <alignment horizontal="right"/>
    </xf>
    <xf numFmtId="165" fontId="3" fillId="0" borderId="1" xfId="0" applyNumberFormat="1" applyFont="1" applyBorder="1" applyAlignment="1" applyProtection="1"/>
    <xf numFmtId="167" fontId="0" fillId="3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 applyProtection="1"/>
    <xf numFmtId="164" fontId="6" fillId="0" borderId="1" xfId="1" applyFont="1" applyBorder="1" applyAlignment="1" applyProtection="1"/>
    <xf numFmtId="0" fontId="0" fillId="0" borderId="4" xfId="0" applyBorder="1" applyAlignment="1" applyProtection="1"/>
    <xf numFmtId="0" fontId="0" fillId="0" borderId="6" xfId="0" applyBorder="1" applyAlignment="1" applyProtection="1"/>
    <xf numFmtId="167" fontId="0" fillId="3" borderId="3" xfId="1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>
      <alignment horizontal="center" vertical="center" wrapText="1"/>
    </xf>
    <xf numFmtId="164" fontId="8" fillId="0" borderId="1" xfId="1" applyFont="1" applyBorder="1" applyAlignment="1" applyProtection="1"/>
    <xf numFmtId="164" fontId="7" fillId="3" borderId="1" xfId="1" applyFont="1" applyFill="1" applyBorder="1" applyAlignment="1" applyProtection="1">
      <alignment horizontal="right"/>
      <protection locked="0"/>
    </xf>
    <xf numFmtId="164" fontId="7" fillId="3" borderId="1" xfId="1" applyFont="1" applyFill="1" applyBorder="1" applyAlignment="1" applyProtection="1">
      <protection locked="0"/>
    </xf>
    <xf numFmtId="164" fontId="8" fillId="3" borderId="1" xfId="1" applyFont="1" applyFill="1" applyBorder="1" applyAlignment="1" applyProtection="1">
      <protection locked="0"/>
    </xf>
    <xf numFmtId="164" fontId="8" fillId="3" borderId="1" xfId="1" applyFont="1" applyFill="1" applyBorder="1" applyAlignment="1" applyProtection="1">
      <alignment horizontal="right"/>
      <protection locked="0"/>
    </xf>
    <xf numFmtId="0" fontId="9" fillId="0" borderId="1" xfId="0" applyFont="1" applyBorder="1" applyAlignment="1" applyProtection="1">
      <alignment horizontal="left"/>
    </xf>
    <xf numFmtId="0" fontId="0" fillId="0" borderId="1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wrapText="1"/>
    </xf>
    <xf numFmtId="0" fontId="0" fillId="0" borderId="7" xfId="0" applyFont="1" applyBorder="1" applyAlignment="1" applyProtection="1">
      <alignment horizontal="center" wrapText="1"/>
    </xf>
    <xf numFmtId="0" fontId="0" fillId="0" borderId="1" xfId="0" applyFont="1" applyBorder="1" applyAlignment="1" applyProtection="1">
      <alignment horizontal="center" vertical="center" wrapText="1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3" xfId="0" applyFont="1" applyBorder="1" applyAlignment="1" applyProtection="1">
      <alignment horizontal="center" wrapText="1"/>
    </xf>
    <xf numFmtId="0" fontId="0" fillId="0" borderId="3" xfId="0" applyFont="1" applyBorder="1" applyAlignment="1" applyProtection="1">
      <alignment horizontal="center" vertical="center" wrapText="1"/>
    </xf>
    <xf numFmtId="49" fontId="7" fillId="3" borderId="1" xfId="0" applyNumberFormat="1" applyFont="1" applyFill="1" applyBorder="1" applyAlignment="1" applyProtection="1">
      <protection locked="0"/>
    </xf>
    <xf numFmtId="49" fontId="0" fillId="3" borderId="1" xfId="0" applyNumberFormat="1" applyFill="1" applyBorder="1" applyAlignment="1" applyProtection="1">
      <protection locked="0"/>
    </xf>
  </cellXfs>
  <cellStyles count="2">
    <cellStyle name="Normal" xfId="0" builtinId="0"/>
    <cellStyle name="Vírgula" xfId="1" builtinId="3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21"/>
  <sheetViews>
    <sheetView tabSelected="1" zoomScaleNormal="100" workbookViewId="0">
      <pane xSplit="1" ySplit="4" topLeftCell="B5" activePane="bottomRight" state="frozen"/>
      <selection pane="topRight" activeCell="T1" sqref="T1"/>
      <selection pane="bottomLeft" activeCell="A5" sqref="A5"/>
      <selection pane="bottomRight" activeCell="BN1" sqref="Q1:BN1048576"/>
    </sheetView>
  </sheetViews>
  <sheetFormatPr defaultColWidth="8.7109375" defaultRowHeight="15" x14ac:dyDescent="0.25"/>
  <cols>
    <col min="1" max="1" width="7.5703125" style="1" customWidth="1"/>
    <col min="2" max="2" width="17.42578125" style="1" customWidth="1"/>
    <col min="3" max="5" width="10.42578125" style="1" customWidth="1"/>
    <col min="6" max="6" width="14.140625" style="1" customWidth="1"/>
    <col min="7" max="7" width="10.85546875" style="1" customWidth="1"/>
    <col min="8" max="8" width="12.85546875" style="1" customWidth="1"/>
    <col min="9" max="10" width="11.85546875" style="1" customWidth="1"/>
    <col min="11" max="11" width="15.28515625" style="1" customWidth="1"/>
    <col min="12" max="13" width="10.28515625" style="1" customWidth="1"/>
    <col min="14" max="15" width="10.140625" style="1" customWidth="1"/>
    <col min="16" max="16" width="9.28515625" style="1" customWidth="1"/>
    <col min="17" max="62" width="9.28515625" style="1" hidden="1" customWidth="1"/>
    <col min="63" max="66" width="10.28515625" style="1" hidden="1" customWidth="1"/>
    <col min="67" max="67" width="4" style="1" customWidth="1"/>
    <col min="68" max="68" width="11.28515625" style="1" customWidth="1"/>
    <col min="69" max="69" width="3.7109375" style="1" customWidth="1"/>
    <col min="70" max="70" width="12.5703125" style="1" customWidth="1"/>
    <col min="71" max="71" width="3.42578125" style="1" customWidth="1"/>
    <col min="73" max="73" width="3.7109375" style="1" customWidth="1"/>
    <col min="74" max="74" width="13" style="1" customWidth="1"/>
    <col min="75" max="75" width="4" style="1" customWidth="1"/>
    <col min="76" max="76" width="12.7109375" style="1" customWidth="1"/>
    <col min="77" max="77" width="10" style="1" customWidth="1"/>
    <col min="78" max="78" width="12" style="1" customWidth="1"/>
    <col min="79" max="79" width="3.5703125" style="1" customWidth="1"/>
    <col min="80" max="80" width="9.5703125" style="1" customWidth="1"/>
    <col min="81" max="81" width="3.5703125" style="1" customWidth="1"/>
    <col min="82" max="82" width="5.5703125" style="1" customWidth="1"/>
    <col min="83" max="83" width="11.28515625" style="1" customWidth="1"/>
    <col min="84" max="84" width="3.5703125" style="1" customWidth="1"/>
    <col min="85" max="85" width="11.5703125" style="1" customWidth="1"/>
    <col min="86" max="86" width="13.28515625" style="1" customWidth="1"/>
    <col min="87" max="87" width="11.85546875" style="1" customWidth="1"/>
    <col min="88" max="88" width="3.5703125" style="1" customWidth="1"/>
    <col min="89" max="89" width="4.85546875" style="1" customWidth="1"/>
    <col min="90" max="91" width="11.5703125" style="1" customWidth="1"/>
    <col min="92" max="92" width="3.85546875" style="1" customWidth="1"/>
    <col min="93" max="93" width="15.140625" style="1" customWidth="1"/>
    <col min="94" max="94" width="10.28515625" style="1" customWidth="1"/>
    <col min="95" max="95" width="11.5703125" style="1" customWidth="1"/>
    <col min="97" max="97" width="11.5703125" style="1" customWidth="1"/>
  </cols>
  <sheetData>
    <row r="1" spans="1:97" ht="18.75" x14ac:dyDescent="0.3">
      <c r="BV1" s="2"/>
      <c r="BW1" s="2"/>
      <c r="BX1" s="2" t="str">
        <f>IF(BZ221&gt;=8840,"SCT - Verificar Valor Final","")</f>
        <v/>
      </c>
      <c r="BY1" s="2"/>
      <c r="BZ1" s="2"/>
      <c r="CO1" s="2" t="str">
        <f>IF(CQ221&gt;=8840,"SCT - AVISAR JACQUE","")</f>
        <v/>
      </c>
    </row>
    <row r="2" spans="1:97" ht="15" customHeight="1" x14ac:dyDescent="0.25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P2" s="33" t="s">
        <v>1</v>
      </c>
      <c r="BR2" s="33" t="s">
        <v>2</v>
      </c>
      <c r="BT2" s="33" t="s">
        <v>3</v>
      </c>
      <c r="BU2" s="4"/>
      <c r="BV2" s="33" t="s">
        <v>4</v>
      </c>
      <c r="BX2" s="33" t="s">
        <v>5</v>
      </c>
      <c r="BY2" s="33"/>
      <c r="BZ2" s="33"/>
      <c r="CB2" s="35" t="s">
        <v>6</v>
      </c>
      <c r="CD2" s="33" t="s">
        <v>7</v>
      </c>
      <c r="CE2" s="33"/>
      <c r="CG2" s="32" t="s">
        <v>8</v>
      </c>
      <c r="CH2" s="32"/>
      <c r="CI2" s="32"/>
      <c r="CJ2" s="32"/>
      <c r="CK2" s="32"/>
      <c r="CL2" s="32"/>
      <c r="CM2" s="32"/>
      <c r="CO2" s="32" t="s">
        <v>9</v>
      </c>
      <c r="CP2" s="32"/>
      <c r="CQ2" s="32"/>
      <c r="CR2" s="32"/>
      <c r="CS2" s="32"/>
    </row>
    <row r="3" spans="1:97" ht="15" customHeight="1" x14ac:dyDescent="0.25">
      <c r="A3" s="33" t="s">
        <v>10</v>
      </c>
      <c r="B3" s="33" t="s">
        <v>11</v>
      </c>
      <c r="C3" s="33" t="s">
        <v>12</v>
      </c>
      <c r="D3" s="35" t="s">
        <v>13</v>
      </c>
      <c r="E3" s="35" t="s">
        <v>14</v>
      </c>
      <c r="F3" s="36" t="s">
        <v>15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P3" s="33"/>
      <c r="BR3" s="33"/>
      <c r="BT3" s="33"/>
      <c r="BU3" s="4"/>
      <c r="BV3" s="33"/>
      <c r="BX3" s="33" t="s">
        <v>11</v>
      </c>
      <c r="BY3" s="33" t="s">
        <v>12</v>
      </c>
      <c r="BZ3" s="37" t="s">
        <v>16</v>
      </c>
      <c r="CB3" s="35"/>
      <c r="CD3" s="35" t="s">
        <v>17</v>
      </c>
      <c r="CE3" s="35" t="s">
        <v>16</v>
      </c>
      <c r="CG3" s="38" t="s">
        <v>18</v>
      </c>
      <c r="CH3" s="38" t="s">
        <v>19</v>
      </c>
      <c r="CI3" s="39" t="s">
        <v>20</v>
      </c>
      <c r="CK3" s="39" t="s">
        <v>21</v>
      </c>
      <c r="CL3" s="39" t="s">
        <v>22</v>
      </c>
      <c r="CM3" s="39" t="s">
        <v>20</v>
      </c>
      <c r="CO3" s="33" t="s">
        <v>11</v>
      </c>
      <c r="CP3" s="33" t="s">
        <v>12</v>
      </c>
      <c r="CQ3" s="37" t="s">
        <v>22</v>
      </c>
      <c r="CR3" s="37" t="s">
        <v>23</v>
      </c>
      <c r="CS3" s="37" t="s">
        <v>20</v>
      </c>
    </row>
    <row r="4" spans="1:97" x14ac:dyDescent="0.25">
      <c r="A4" s="33"/>
      <c r="B4" s="33"/>
      <c r="C4" s="33"/>
      <c r="D4" s="35"/>
      <c r="E4" s="35"/>
      <c r="F4" s="31" t="s">
        <v>24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P4" s="33"/>
      <c r="BR4" s="33"/>
      <c r="BS4" s="5"/>
      <c r="BT4" s="34"/>
      <c r="BU4" s="6"/>
      <c r="BV4" s="33"/>
      <c r="BX4" s="33"/>
      <c r="BY4" s="33"/>
      <c r="BZ4" s="37"/>
      <c r="CB4" s="35"/>
      <c r="CD4" s="35"/>
      <c r="CE4" s="35"/>
      <c r="CG4" s="38"/>
      <c r="CH4" s="38"/>
      <c r="CI4" s="39"/>
      <c r="CK4" s="39"/>
      <c r="CL4" s="39"/>
      <c r="CM4" s="39"/>
      <c r="CO4" s="33"/>
      <c r="CP4" s="33"/>
      <c r="CQ4" s="37"/>
      <c r="CR4" s="37"/>
      <c r="CS4" s="37"/>
    </row>
    <row r="5" spans="1:97" x14ac:dyDescent="0.25">
      <c r="A5" s="7">
        <v>1</v>
      </c>
      <c r="B5" s="40"/>
      <c r="C5" s="40"/>
      <c r="D5" s="40"/>
      <c r="E5" s="40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P5" s="10">
        <f t="shared" ref="BP5:BP68" si="0">IF(SUM(F5:BN5)&gt;0,ROUND(AVERAGE(F5:BN5),4),0)</f>
        <v>0</v>
      </c>
      <c r="BR5" s="11"/>
      <c r="BS5" s="22"/>
      <c r="BT5" s="25"/>
      <c r="BU5" s="23"/>
      <c r="BV5" s="13">
        <f t="shared" ref="BV5:BV68" si="1">IF(BR5&gt;0,BR5,BP5)*BT5</f>
        <v>0</v>
      </c>
      <c r="BX5" s="14" cm="1">
        <f t="array" ref="BX5:BY5">_xlfn.UNIQUE(B5:C216)</f>
        <v>0</v>
      </c>
      <c r="BY5" s="8">
        <v>0</v>
      </c>
      <c r="BZ5" s="21">
        <f t="shared" ref="BZ5:BZ68" si="2">IF(BX5="",0,IF(BY5="",SUMIF($B$5:$B$220,"="&amp;BX5,$BV$5:$BV$220),SUMIFS($BV$5:$BV$220, $B$5:$B$220, "="&amp;BX5, $C$5:$C$220,"="&amp;BY5)))</f>
        <v>0</v>
      </c>
      <c r="CB5" s="15"/>
      <c r="CD5" s="8"/>
      <c r="CE5" s="13">
        <f t="shared" ref="CE5:CE68" si="3">IF(CD5="",0,SUMIF($CB$5:$CB$220,"="&amp;CD5,$BV$5:$BV$220))</f>
        <v>0</v>
      </c>
      <c r="CG5" s="9"/>
      <c r="CH5" s="13">
        <f t="shared" ref="CH5:CH68" si="4">CG5*BT5</f>
        <v>0</v>
      </c>
      <c r="CI5" s="16">
        <f t="shared" ref="CI5:CI68" si="5">IF(BV5&gt;0,IF(CH5&gt;=0,CH5-BV5,0),0)</f>
        <v>0</v>
      </c>
      <c r="CK5" s="8">
        <f t="shared" ref="CK5:CK31" si="6">CD5</f>
        <v>0</v>
      </c>
      <c r="CL5" s="13">
        <f t="shared" ref="CL5:CL31" si="7">IF(CK5="","",SUMIF($CB$5:$CB$220,"="&amp;CK5,$CH$5:$CH$220))</f>
        <v>0</v>
      </c>
      <c r="CM5" s="13">
        <f t="shared" ref="CM5:CM31" si="8">IF(CE5&gt;=0,IF(CL5&gt;=0,CE5-CL5,0),0)</f>
        <v>0</v>
      </c>
      <c r="CO5" s="14">
        <f>BX5</f>
        <v>0</v>
      </c>
      <c r="CP5" s="8">
        <f>BY5</f>
        <v>0</v>
      </c>
      <c r="CQ5" s="13">
        <f t="shared" ref="CQ5:CQ43" si="9">IF(CO5="","",IF(CP5="",SUMIF($B$5:$B$220,"="&amp;CO5,$CH$5:$CH$220),SUMIFS($CH$5:$CH$220, $B$5:$B$220, "="&amp;CO5, $C$5:$C$220,"="&amp;CP5)))</f>
        <v>0</v>
      </c>
      <c r="CR5" s="17" t="str">
        <f t="shared" ref="CR5:CR68" si="10">IF(CS5&gt;0,"anular",IF(CS5&lt;0,"reforçar","nenhuma"))</f>
        <v>nenhuma</v>
      </c>
      <c r="CS5" s="13">
        <f t="shared" ref="CS5:CS43" si="11">IF(BZ5&gt;0,IF(CQ5&gt;=0,BZ5-CQ5,0),0)</f>
        <v>0</v>
      </c>
    </row>
    <row r="6" spans="1:97" x14ac:dyDescent="0.25">
      <c r="A6" s="7">
        <v>2</v>
      </c>
      <c r="B6" s="40"/>
      <c r="C6" s="40"/>
      <c r="D6" s="40"/>
      <c r="E6" s="40"/>
      <c r="F6" s="27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P6" s="10">
        <f t="shared" si="0"/>
        <v>0</v>
      </c>
      <c r="BR6" s="11"/>
      <c r="BS6" s="22"/>
      <c r="BT6" s="25"/>
      <c r="BU6" s="23"/>
      <c r="BV6" s="13">
        <f t="shared" si="1"/>
        <v>0</v>
      </c>
      <c r="BX6" s="14"/>
      <c r="BY6" s="8"/>
      <c r="BZ6" s="21">
        <f t="shared" si="2"/>
        <v>0</v>
      </c>
      <c r="CB6" s="15"/>
      <c r="CD6" s="8"/>
      <c r="CE6" s="13">
        <f t="shared" si="3"/>
        <v>0</v>
      </c>
      <c r="CG6" s="9"/>
      <c r="CH6" s="13">
        <f t="shared" si="4"/>
        <v>0</v>
      </c>
      <c r="CI6" s="16">
        <f t="shared" si="5"/>
        <v>0</v>
      </c>
      <c r="CK6" s="8">
        <f t="shared" si="6"/>
        <v>0</v>
      </c>
      <c r="CL6" s="13">
        <f t="shared" si="7"/>
        <v>0</v>
      </c>
      <c r="CM6" s="13">
        <f t="shared" si="8"/>
        <v>0</v>
      </c>
      <c r="CO6" s="14">
        <f t="shared" ref="CO6:CO28" si="12">BX6</f>
        <v>0</v>
      </c>
      <c r="CP6" s="8">
        <f t="shared" ref="CP6:CP27" si="13">BY6</f>
        <v>0</v>
      </c>
      <c r="CQ6" s="13">
        <f t="shared" si="9"/>
        <v>0</v>
      </c>
      <c r="CR6" s="17" t="str">
        <f t="shared" si="10"/>
        <v>nenhuma</v>
      </c>
      <c r="CS6" s="13">
        <f t="shared" si="11"/>
        <v>0</v>
      </c>
    </row>
    <row r="7" spans="1:97" x14ac:dyDescent="0.25">
      <c r="A7" s="7">
        <v>3</v>
      </c>
      <c r="B7" s="40"/>
      <c r="C7" s="40"/>
      <c r="D7" s="40"/>
      <c r="E7" s="40"/>
      <c r="F7" s="27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P7" s="10">
        <f t="shared" si="0"/>
        <v>0</v>
      </c>
      <c r="BR7" s="11"/>
      <c r="BS7" s="22"/>
      <c r="BT7" s="25"/>
      <c r="BU7" s="23"/>
      <c r="BV7" s="13">
        <f t="shared" si="1"/>
        <v>0</v>
      </c>
      <c r="BX7" s="14"/>
      <c r="BY7" s="8"/>
      <c r="BZ7" s="26">
        <f t="shared" si="2"/>
        <v>0</v>
      </c>
      <c r="CB7" s="15"/>
      <c r="CD7" s="8"/>
      <c r="CE7" s="13">
        <f t="shared" si="3"/>
        <v>0</v>
      </c>
      <c r="CG7" s="9"/>
      <c r="CH7" s="13">
        <f t="shared" si="4"/>
        <v>0</v>
      </c>
      <c r="CI7" s="16">
        <f t="shared" si="5"/>
        <v>0</v>
      </c>
      <c r="CK7" s="8">
        <f t="shared" si="6"/>
        <v>0</v>
      </c>
      <c r="CL7" s="13">
        <f t="shared" si="7"/>
        <v>0</v>
      </c>
      <c r="CM7" s="13">
        <f t="shared" si="8"/>
        <v>0</v>
      </c>
      <c r="CO7" s="14">
        <f t="shared" si="12"/>
        <v>0</v>
      </c>
      <c r="CP7" s="8">
        <f t="shared" si="13"/>
        <v>0</v>
      </c>
      <c r="CQ7" s="13">
        <f t="shared" si="9"/>
        <v>0</v>
      </c>
      <c r="CR7" s="17" t="str">
        <f t="shared" si="10"/>
        <v>nenhuma</v>
      </c>
      <c r="CS7" s="13">
        <f t="shared" si="11"/>
        <v>0</v>
      </c>
    </row>
    <row r="8" spans="1:97" x14ac:dyDescent="0.25">
      <c r="A8" s="7">
        <v>4</v>
      </c>
      <c r="B8" s="40"/>
      <c r="C8" s="40"/>
      <c r="D8" s="40"/>
      <c r="E8" s="40"/>
      <c r="F8" s="27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P8" s="10">
        <f t="shared" si="0"/>
        <v>0</v>
      </c>
      <c r="BR8" s="11"/>
      <c r="BS8" s="22"/>
      <c r="BT8" s="25"/>
      <c r="BU8" s="23"/>
      <c r="BV8" s="13">
        <f t="shared" si="1"/>
        <v>0</v>
      </c>
      <c r="BX8" s="14"/>
      <c r="BY8" s="8"/>
      <c r="BZ8" s="21">
        <f t="shared" si="2"/>
        <v>0</v>
      </c>
      <c r="CB8" s="15"/>
      <c r="CD8" s="8"/>
      <c r="CE8" s="13">
        <f t="shared" si="3"/>
        <v>0</v>
      </c>
      <c r="CG8" s="9"/>
      <c r="CH8" s="13">
        <f t="shared" si="4"/>
        <v>0</v>
      </c>
      <c r="CI8" s="16">
        <f t="shared" si="5"/>
        <v>0</v>
      </c>
      <c r="CK8" s="8">
        <f t="shared" si="6"/>
        <v>0</v>
      </c>
      <c r="CL8" s="13">
        <f t="shared" si="7"/>
        <v>0</v>
      </c>
      <c r="CM8" s="13">
        <f t="shared" si="8"/>
        <v>0</v>
      </c>
      <c r="CO8" s="14">
        <f t="shared" si="12"/>
        <v>0</v>
      </c>
      <c r="CP8" s="8">
        <f t="shared" si="13"/>
        <v>0</v>
      </c>
      <c r="CQ8" s="13">
        <f t="shared" si="9"/>
        <v>0</v>
      </c>
      <c r="CR8" s="17" t="str">
        <f t="shared" si="10"/>
        <v>nenhuma</v>
      </c>
      <c r="CS8" s="13">
        <f t="shared" si="11"/>
        <v>0</v>
      </c>
    </row>
    <row r="9" spans="1:97" x14ac:dyDescent="0.25">
      <c r="A9" s="7">
        <v>5</v>
      </c>
      <c r="B9" s="40"/>
      <c r="C9" s="40"/>
      <c r="D9" s="40"/>
      <c r="E9" s="40"/>
      <c r="F9" s="28"/>
      <c r="G9" s="28"/>
      <c r="H9" s="28"/>
      <c r="I9" s="28"/>
      <c r="J9" s="29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P9" s="18">
        <f t="shared" si="0"/>
        <v>0</v>
      </c>
      <c r="BR9" s="11"/>
      <c r="BS9" s="22"/>
      <c r="BT9" s="25"/>
      <c r="BU9" s="23"/>
      <c r="BV9" s="13">
        <f t="shared" si="1"/>
        <v>0</v>
      </c>
      <c r="BX9" s="14"/>
      <c r="BY9" s="8"/>
      <c r="BZ9" s="21">
        <f t="shared" si="2"/>
        <v>0</v>
      </c>
      <c r="CB9" s="15"/>
      <c r="CD9" s="8"/>
      <c r="CE9" s="13">
        <f t="shared" si="3"/>
        <v>0</v>
      </c>
      <c r="CG9" s="9"/>
      <c r="CH9" s="13">
        <f t="shared" si="4"/>
        <v>0</v>
      </c>
      <c r="CI9" s="16">
        <f t="shared" si="5"/>
        <v>0</v>
      </c>
      <c r="CK9" s="8">
        <f t="shared" si="6"/>
        <v>0</v>
      </c>
      <c r="CL9" s="13">
        <f t="shared" si="7"/>
        <v>0</v>
      </c>
      <c r="CM9" s="13">
        <f t="shared" si="8"/>
        <v>0</v>
      </c>
      <c r="CO9" s="14">
        <f t="shared" si="12"/>
        <v>0</v>
      </c>
      <c r="CP9" s="8">
        <f t="shared" si="13"/>
        <v>0</v>
      </c>
      <c r="CQ9" s="13">
        <f t="shared" si="9"/>
        <v>0</v>
      </c>
      <c r="CR9" s="17" t="str">
        <f t="shared" si="10"/>
        <v>nenhuma</v>
      </c>
      <c r="CS9" s="13">
        <f t="shared" si="11"/>
        <v>0</v>
      </c>
    </row>
    <row r="10" spans="1:97" x14ac:dyDescent="0.25">
      <c r="A10" s="7">
        <v>6</v>
      </c>
      <c r="B10" s="40"/>
      <c r="C10" s="40"/>
      <c r="D10" s="40"/>
      <c r="E10" s="40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P10" s="10">
        <f t="shared" si="0"/>
        <v>0</v>
      </c>
      <c r="BR10" s="11"/>
      <c r="BS10" s="22"/>
      <c r="BT10" s="25"/>
      <c r="BU10" s="23"/>
      <c r="BV10" s="13">
        <f t="shared" si="1"/>
        <v>0</v>
      </c>
      <c r="BX10" s="14"/>
      <c r="BY10" s="8"/>
      <c r="BZ10" s="13">
        <f t="shared" si="2"/>
        <v>0</v>
      </c>
      <c r="CB10" s="15"/>
      <c r="CD10" s="8"/>
      <c r="CE10" s="13">
        <f t="shared" si="3"/>
        <v>0</v>
      </c>
      <c r="CG10" s="9"/>
      <c r="CH10" s="13">
        <f t="shared" si="4"/>
        <v>0</v>
      </c>
      <c r="CI10" s="16">
        <f t="shared" si="5"/>
        <v>0</v>
      </c>
      <c r="CK10" s="8">
        <f t="shared" si="6"/>
        <v>0</v>
      </c>
      <c r="CL10" s="13">
        <f t="shared" si="7"/>
        <v>0</v>
      </c>
      <c r="CM10" s="13">
        <f t="shared" si="8"/>
        <v>0</v>
      </c>
      <c r="CO10" s="14">
        <f t="shared" si="12"/>
        <v>0</v>
      </c>
      <c r="CP10" s="8">
        <f t="shared" si="13"/>
        <v>0</v>
      </c>
      <c r="CQ10" s="13">
        <f t="shared" si="9"/>
        <v>0</v>
      </c>
      <c r="CR10" s="17" t="str">
        <f t="shared" si="10"/>
        <v>nenhuma</v>
      </c>
      <c r="CS10" s="13">
        <f t="shared" si="11"/>
        <v>0</v>
      </c>
    </row>
    <row r="11" spans="1:97" x14ac:dyDescent="0.25">
      <c r="A11" s="7">
        <v>7</v>
      </c>
      <c r="B11" s="40"/>
      <c r="C11" s="40"/>
      <c r="D11" s="40"/>
      <c r="E11" s="40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P11" s="10">
        <f t="shared" si="0"/>
        <v>0</v>
      </c>
      <c r="BR11" s="11"/>
      <c r="BS11" s="22"/>
      <c r="BT11" s="25"/>
      <c r="BU11" s="23"/>
      <c r="BV11" s="13">
        <f t="shared" si="1"/>
        <v>0</v>
      </c>
      <c r="BX11" s="14"/>
      <c r="BY11" s="8"/>
      <c r="BZ11" s="13">
        <f t="shared" si="2"/>
        <v>0</v>
      </c>
      <c r="CB11" s="15"/>
      <c r="CD11" s="8"/>
      <c r="CE11" s="13">
        <f t="shared" si="3"/>
        <v>0</v>
      </c>
      <c r="CG11" s="9"/>
      <c r="CH11" s="13">
        <f t="shared" si="4"/>
        <v>0</v>
      </c>
      <c r="CI11" s="16">
        <f t="shared" si="5"/>
        <v>0</v>
      </c>
      <c r="CK11" s="8">
        <f t="shared" si="6"/>
        <v>0</v>
      </c>
      <c r="CL11" s="13">
        <f t="shared" si="7"/>
        <v>0</v>
      </c>
      <c r="CM11" s="13">
        <f t="shared" si="8"/>
        <v>0</v>
      </c>
      <c r="CO11" s="14">
        <f t="shared" si="12"/>
        <v>0</v>
      </c>
      <c r="CP11" s="8">
        <f t="shared" si="13"/>
        <v>0</v>
      </c>
      <c r="CQ11" s="13">
        <f t="shared" si="9"/>
        <v>0</v>
      </c>
      <c r="CR11" s="17" t="str">
        <f t="shared" si="10"/>
        <v>nenhuma</v>
      </c>
      <c r="CS11" s="13">
        <f t="shared" si="11"/>
        <v>0</v>
      </c>
    </row>
    <row r="12" spans="1:97" x14ac:dyDescent="0.25">
      <c r="A12" s="7">
        <v>8</v>
      </c>
      <c r="B12" s="40"/>
      <c r="C12" s="40"/>
      <c r="D12" s="40"/>
      <c r="E12" s="40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P12" s="10">
        <f t="shared" si="0"/>
        <v>0</v>
      </c>
      <c r="BR12" s="11"/>
      <c r="BS12" s="22"/>
      <c r="BT12" s="25"/>
      <c r="BU12" s="23"/>
      <c r="BV12" s="13">
        <f t="shared" si="1"/>
        <v>0</v>
      </c>
      <c r="BX12" s="14"/>
      <c r="BY12" s="8"/>
      <c r="BZ12" s="13">
        <f t="shared" si="2"/>
        <v>0</v>
      </c>
      <c r="CB12" s="15"/>
      <c r="CD12" s="8"/>
      <c r="CE12" s="13">
        <f t="shared" si="3"/>
        <v>0</v>
      </c>
      <c r="CG12" s="9"/>
      <c r="CH12" s="13">
        <f t="shared" si="4"/>
        <v>0</v>
      </c>
      <c r="CI12" s="16">
        <f t="shared" si="5"/>
        <v>0</v>
      </c>
      <c r="CK12" s="8">
        <f t="shared" si="6"/>
        <v>0</v>
      </c>
      <c r="CL12" s="13">
        <f t="shared" si="7"/>
        <v>0</v>
      </c>
      <c r="CM12" s="13">
        <f t="shared" si="8"/>
        <v>0</v>
      </c>
      <c r="CO12" s="14">
        <f t="shared" si="12"/>
        <v>0</v>
      </c>
      <c r="CP12" s="8">
        <f t="shared" si="13"/>
        <v>0</v>
      </c>
      <c r="CQ12" s="13">
        <f t="shared" si="9"/>
        <v>0</v>
      </c>
      <c r="CR12" s="17" t="str">
        <f t="shared" si="10"/>
        <v>nenhuma</v>
      </c>
      <c r="CS12" s="13">
        <f t="shared" si="11"/>
        <v>0</v>
      </c>
    </row>
    <row r="13" spans="1:97" x14ac:dyDescent="0.25">
      <c r="A13" s="7">
        <v>9</v>
      </c>
      <c r="B13" s="40"/>
      <c r="C13" s="40"/>
      <c r="D13" s="40"/>
      <c r="E13" s="40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P13" s="10">
        <f t="shared" si="0"/>
        <v>0</v>
      </c>
      <c r="BR13" s="11"/>
      <c r="BS13" s="22"/>
      <c r="BT13" s="25"/>
      <c r="BU13" s="23"/>
      <c r="BV13" s="13">
        <f t="shared" si="1"/>
        <v>0</v>
      </c>
      <c r="BX13" s="14"/>
      <c r="BY13" s="8"/>
      <c r="BZ13" s="13">
        <f t="shared" si="2"/>
        <v>0</v>
      </c>
      <c r="CB13" s="15"/>
      <c r="CD13" s="8"/>
      <c r="CE13" s="13">
        <f t="shared" si="3"/>
        <v>0</v>
      </c>
      <c r="CG13" s="9"/>
      <c r="CH13" s="13">
        <f t="shared" si="4"/>
        <v>0</v>
      </c>
      <c r="CI13" s="16">
        <f t="shared" si="5"/>
        <v>0</v>
      </c>
      <c r="CK13" s="8">
        <f t="shared" si="6"/>
        <v>0</v>
      </c>
      <c r="CL13" s="13">
        <f t="shared" si="7"/>
        <v>0</v>
      </c>
      <c r="CM13" s="13">
        <f t="shared" si="8"/>
        <v>0</v>
      </c>
      <c r="CO13" s="14">
        <f t="shared" si="12"/>
        <v>0</v>
      </c>
      <c r="CP13" s="8">
        <f t="shared" si="13"/>
        <v>0</v>
      </c>
      <c r="CQ13" s="13">
        <f t="shared" si="9"/>
        <v>0</v>
      </c>
      <c r="CR13" s="17" t="str">
        <f t="shared" si="10"/>
        <v>nenhuma</v>
      </c>
      <c r="CS13" s="13">
        <f t="shared" si="11"/>
        <v>0</v>
      </c>
    </row>
    <row r="14" spans="1:97" x14ac:dyDescent="0.25">
      <c r="A14" s="7">
        <v>10</v>
      </c>
      <c r="B14" s="40"/>
      <c r="C14" s="40"/>
      <c r="D14" s="40"/>
      <c r="E14" s="40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P14" s="10">
        <f t="shared" si="0"/>
        <v>0</v>
      </c>
      <c r="BR14" s="11"/>
      <c r="BS14" s="22"/>
      <c r="BT14" s="25"/>
      <c r="BU14" s="23"/>
      <c r="BV14" s="13">
        <f t="shared" si="1"/>
        <v>0</v>
      </c>
      <c r="BX14" s="14"/>
      <c r="BY14" s="8"/>
      <c r="BZ14" s="13">
        <f t="shared" si="2"/>
        <v>0</v>
      </c>
      <c r="CB14" s="15"/>
      <c r="CD14" s="8"/>
      <c r="CE14" s="13">
        <f t="shared" si="3"/>
        <v>0</v>
      </c>
      <c r="CG14" s="9"/>
      <c r="CH14" s="13">
        <f t="shared" si="4"/>
        <v>0</v>
      </c>
      <c r="CI14" s="16">
        <f t="shared" si="5"/>
        <v>0</v>
      </c>
      <c r="CK14" s="8">
        <f t="shared" si="6"/>
        <v>0</v>
      </c>
      <c r="CL14" s="13">
        <f t="shared" si="7"/>
        <v>0</v>
      </c>
      <c r="CM14" s="13">
        <f t="shared" si="8"/>
        <v>0</v>
      </c>
      <c r="CO14" s="14">
        <f t="shared" si="12"/>
        <v>0</v>
      </c>
      <c r="CP14" s="8">
        <f t="shared" si="13"/>
        <v>0</v>
      </c>
      <c r="CQ14" s="13">
        <f t="shared" si="9"/>
        <v>0</v>
      </c>
      <c r="CR14" s="17" t="str">
        <f t="shared" si="10"/>
        <v>nenhuma</v>
      </c>
      <c r="CS14" s="13">
        <f t="shared" si="11"/>
        <v>0</v>
      </c>
    </row>
    <row r="15" spans="1:97" x14ac:dyDescent="0.25">
      <c r="A15" s="7">
        <v>11</v>
      </c>
      <c r="B15" s="40"/>
      <c r="C15" s="40"/>
      <c r="D15" s="40"/>
      <c r="E15" s="40"/>
      <c r="F15" s="30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P15" s="10">
        <f t="shared" si="0"/>
        <v>0</v>
      </c>
      <c r="BR15" s="11"/>
      <c r="BS15" s="22"/>
      <c r="BT15" s="25"/>
      <c r="BU15" s="23"/>
      <c r="BV15" s="13">
        <f t="shared" si="1"/>
        <v>0</v>
      </c>
      <c r="BX15" s="14"/>
      <c r="BY15" s="8"/>
      <c r="BZ15" s="13">
        <f t="shared" si="2"/>
        <v>0</v>
      </c>
      <c r="CB15" s="15"/>
      <c r="CD15" s="8"/>
      <c r="CE15" s="13">
        <f t="shared" si="3"/>
        <v>0</v>
      </c>
      <c r="CG15" s="9"/>
      <c r="CH15" s="13">
        <f t="shared" si="4"/>
        <v>0</v>
      </c>
      <c r="CI15" s="16">
        <f t="shared" si="5"/>
        <v>0</v>
      </c>
      <c r="CK15" s="8">
        <f t="shared" si="6"/>
        <v>0</v>
      </c>
      <c r="CL15" s="13">
        <f t="shared" si="7"/>
        <v>0</v>
      </c>
      <c r="CM15" s="13">
        <f t="shared" si="8"/>
        <v>0</v>
      </c>
      <c r="CO15" s="14">
        <f t="shared" si="12"/>
        <v>0</v>
      </c>
      <c r="CP15" s="8">
        <f t="shared" si="13"/>
        <v>0</v>
      </c>
      <c r="CQ15" s="13">
        <f t="shared" si="9"/>
        <v>0</v>
      </c>
      <c r="CR15" s="17" t="str">
        <f t="shared" si="10"/>
        <v>nenhuma</v>
      </c>
      <c r="CS15" s="13">
        <f t="shared" si="11"/>
        <v>0</v>
      </c>
    </row>
    <row r="16" spans="1:97" x14ac:dyDescent="0.25">
      <c r="A16" s="7">
        <v>12</v>
      </c>
      <c r="B16" s="40"/>
      <c r="C16" s="40"/>
      <c r="D16" s="40"/>
      <c r="E16" s="40"/>
      <c r="F16" s="27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P16" s="10">
        <f t="shared" si="0"/>
        <v>0</v>
      </c>
      <c r="BR16" s="11"/>
      <c r="BS16" s="22"/>
      <c r="BT16" s="25"/>
      <c r="BU16" s="23"/>
      <c r="BV16" s="13">
        <f t="shared" si="1"/>
        <v>0</v>
      </c>
      <c r="BX16" s="14"/>
      <c r="BY16" s="8"/>
      <c r="BZ16" s="13">
        <f t="shared" si="2"/>
        <v>0</v>
      </c>
      <c r="CB16" s="15"/>
      <c r="CD16" s="8"/>
      <c r="CE16" s="13">
        <f t="shared" si="3"/>
        <v>0</v>
      </c>
      <c r="CG16" s="9"/>
      <c r="CH16" s="13">
        <f t="shared" si="4"/>
        <v>0</v>
      </c>
      <c r="CI16" s="16">
        <f t="shared" si="5"/>
        <v>0</v>
      </c>
      <c r="CK16" s="8">
        <f t="shared" si="6"/>
        <v>0</v>
      </c>
      <c r="CL16" s="13">
        <f t="shared" si="7"/>
        <v>0</v>
      </c>
      <c r="CM16" s="13">
        <f t="shared" si="8"/>
        <v>0</v>
      </c>
      <c r="CO16" s="14">
        <f t="shared" si="12"/>
        <v>0</v>
      </c>
      <c r="CP16" s="8">
        <f t="shared" si="13"/>
        <v>0</v>
      </c>
      <c r="CQ16" s="13">
        <f t="shared" si="9"/>
        <v>0</v>
      </c>
      <c r="CR16" s="17" t="str">
        <f t="shared" si="10"/>
        <v>nenhuma</v>
      </c>
      <c r="CS16" s="13">
        <f t="shared" si="11"/>
        <v>0</v>
      </c>
    </row>
    <row r="17" spans="1:97" x14ac:dyDescent="0.25">
      <c r="A17" s="7">
        <v>13</v>
      </c>
      <c r="B17" s="40"/>
      <c r="C17" s="40"/>
      <c r="D17" s="40"/>
      <c r="E17" s="40"/>
      <c r="F17" s="27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P17" s="10">
        <f t="shared" si="0"/>
        <v>0</v>
      </c>
      <c r="BR17" s="11"/>
      <c r="BS17" s="22"/>
      <c r="BT17" s="25"/>
      <c r="BU17" s="23"/>
      <c r="BV17" s="13">
        <f t="shared" si="1"/>
        <v>0</v>
      </c>
      <c r="BX17" s="14"/>
      <c r="BY17" s="8"/>
      <c r="BZ17" s="13">
        <f t="shared" si="2"/>
        <v>0</v>
      </c>
      <c r="CB17" s="15"/>
      <c r="CD17" s="8"/>
      <c r="CE17" s="13">
        <f t="shared" si="3"/>
        <v>0</v>
      </c>
      <c r="CG17" s="9"/>
      <c r="CH17" s="13">
        <f t="shared" si="4"/>
        <v>0</v>
      </c>
      <c r="CI17" s="16">
        <f t="shared" si="5"/>
        <v>0</v>
      </c>
      <c r="CK17" s="8">
        <f t="shared" si="6"/>
        <v>0</v>
      </c>
      <c r="CL17" s="13">
        <f t="shared" si="7"/>
        <v>0</v>
      </c>
      <c r="CM17" s="13">
        <f t="shared" si="8"/>
        <v>0</v>
      </c>
      <c r="CO17" s="14">
        <f t="shared" si="12"/>
        <v>0</v>
      </c>
      <c r="CP17" s="8">
        <f t="shared" si="13"/>
        <v>0</v>
      </c>
      <c r="CQ17" s="13">
        <f t="shared" si="9"/>
        <v>0</v>
      </c>
      <c r="CR17" s="17" t="str">
        <f t="shared" si="10"/>
        <v>nenhuma</v>
      </c>
      <c r="CS17" s="13">
        <f t="shared" si="11"/>
        <v>0</v>
      </c>
    </row>
    <row r="18" spans="1:97" x14ac:dyDescent="0.25">
      <c r="A18" s="7">
        <v>14</v>
      </c>
      <c r="B18" s="40"/>
      <c r="C18" s="40"/>
      <c r="D18" s="40"/>
      <c r="E18" s="40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P18" s="10">
        <f t="shared" si="0"/>
        <v>0</v>
      </c>
      <c r="BR18" s="11"/>
      <c r="BS18" s="22"/>
      <c r="BT18" s="25"/>
      <c r="BU18" s="23"/>
      <c r="BV18" s="13">
        <f t="shared" si="1"/>
        <v>0</v>
      </c>
      <c r="BX18" s="14"/>
      <c r="BY18" s="8"/>
      <c r="BZ18" s="13">
        <f t="shared" si="2"/>
        <v>0</v>
      </c>
      <c r="CB18" s="15"/>
      <c r="CD18" s="8"/>
      <c r="CE18" s="13">
        <f t="shared" si="3"/>
        <v>0</v>
      </c>
      <c r="CG18" s="9"/>
      <c r="CH18" s="13">
        <f t="shared" si="4"/>
        <v>0</v>
      </c>
      <c r="CI18" s="16">
        <f t="shared" si="5"/>
        <v>0</v>
      </c>
      <c r="CK18" s="8">
        <f t="shared" si="6"/>
        <v>0</v>
      </c>
      <c r="CL18" s="13">
        <f t="shared" si="7"/>
        <v>0</v>
      </c>
      <c r="CM18" s="13">
        <f t="shared" si="8"/>
        <v>0</v>
      </c>
      <c r="CO18" s="14">
        <f t="shared" si="12"/>
        <v>0</v>
      </c>
      <c r="CP18" s="8">
        <f t="shared" si="13"/>
        <v>0</v>
      </c>
      <c r="CQ18" s="13">
        <f t="shared" si="9"/>
        <v>0</v>
      </c>
      <c r="CR18" s="17" t="str">
        <f t="shared" si="10"/>
        <v>nenhuma</v>
      </c>
      <c r="CS18" s="13">
        <f t="shared" si="11"/>
        <v>0</v>
      </c>
    </row>
    <row r="19" spans="1:97" x14ac:dyDescent="0.25">
      <c r="A19" s="7">
        <v>15</v>
      </c>
      <c r="B19" s="40"/>
      <c r="C19" s="40"/>
      <c r="D19" s="40"/>
      <c r="E19" s="40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P19" s="10">
        <f t="shared" si="0"/>
        <v>0</v>
      </c>
      <c r="BR19" s="11"/>
      <c r="BS19" s="22"/>
      <c r="BT19" s="25"/>
      <c r="BU19" s="23"/>
      <c r="BV19" s="13">
        <f t="shared" si="1"/>
        <v>0</v>
      </c>
      <c r="BX19" s="14"/>
      <c r="BY19" s="8"/>
      <c r="BZ19" s="13">
        <f t="shared" si="2"/>
        <v>0</v>
      </c>
      <c r="CB19" s="15"/>
      <c r="CD19" s="8"/>
      <c r="CE19" s="13">
        <f t="shared" si="3"/>
        <v>0</v>
      </c>
      <c r="CG19" s="9"/>
      <c r="CH19" s="13">
        <f t="shared" si="4"/>
        <v>0</v>
      </c>
      <c r="CI19" s="16">
        <f t="shared" si="5"/>
        <v>0</v>
      </c>
      <c r="CK19" s="8">
        <f t="shared" si="6"/>
        <v>0</v>
      </c>
      <c r="CL19" s="13">
        <f t="shared" si="7"/>
        <v>0</v>
      </c>
      <c r="CM19" s="13">
        <f t="shared" si="8"/>
        <v>0</v>
      </c>
      <c r="CO19" s="14">
        <f t="shared" si="12"/>
        <v>0</v>
      </c>
      <c r="CP19" s="8">
        <f t="shared" si="13"/>
        <v>0</v>
      </c>
      <c r="CQ19" s="13">
        <f t="shared" si="9"/>
        <v>0</v>
      </c>
      <c r="CR19" s="17" t="str">
        <f t="shared" si="10"/>
        <v>nenhuma</v>
      </c>
      <c r="CS19" s="13">
        <f t="shared" si="11"/>
        <v>0</v>
      </c>
    </row>
    <row r="20" spans="1:97" x14ac:dyDescent="0.25">
      <c r="A20" s="7">
        <v>16</v>
      </c>
      <c r="B20" s="40"/>
      <c r="C20" s="40"/>
      <c r="D20" s="40"/>
      <c r="E20" s="40"/>
      <c r="F20" s="29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P20" s="10">
        <f t="shared" si="0"/>
        <v>0</v>
      </c>
      <c r="BR20" s="11"/>
      <c r="BS20" s="22"/>
      <c r="BT20" s="25"/>
      <c r="BU20" s="23"/>
      <c r="BV20" s="13">
        <f t="shared" si="1"/>
        <v>0</v>
      </c>
      <c r="BX20" s="14"/>
      <c r="BY20" s="8"/>
      <c r="BZ20" s="13">
        <f t="shared" si="2"/>
        <v>0</v>
      </c>
      <c r="CB20" s="15"/>
      <c r="CD20" s="8"/>
      <c r="CE20" s="13">
        <f t="shared" si="3"/>
        <v>0</v>
      </c>
      <c r="CG20" s="9"/>
      <c r="CH20" s="13">
        <f t="shared" si="4"/>
        <v>0</v>
      </c>
      <c r="CI20" s="16">
        <f t="shared" si="5"/>
        <v>0</v>
      </c>
      <c r="CK20" s="8">
        <f t="shared" si="6"/>
        <v>0</v>
      </c>
      <c r="CL20" s="13">
        <f t="shared" si="7"/>
        <v>0</v>
      </c>
      <c r="CM20" s="13">
        <f t="shared" si="8"/>
        <v>0</v>
      </c>
      <c r="CO20" s="14">
        <f t="shared" si="12"/>
        <v>0</v>
      </c>
      <c r="CP20" s="8">
        <f t="shared" si="13"/>
        <v>0</v>
      </c>
      <c r="CQ20" s="13">
        <f t="shared" si="9"/>
        <v>0</v>
      </c>
      <c r="CR20" s="17" t="str">
        <f t="shared" si="10"/>
        <v>nenhuma</v>
      </c>
      <c r="CS20" s="13">
        <f t="shared" si="11"/>
        <v>0</v>
      </c>
    </row>
    <row r="21" spans="1:97" x14ac:dyDescent="0.25">
      <c r="A21" s="7">
        <v>17</v>
      </c>
      <c r="B21" s="40"/>
      <c r="C21" s="40"/>
      <c r="D21" s="40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29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P21" s="18">
        <f t="shared" si="0"/>
        <v>0</v>
      </c>
      <c r="BR21" s="11"/>
      <c r="BS21" s="22"/>
      <c r="BT21" s="25"/>
      <c r="BU21" s="23"/>
      <c r="BV21" s="13">
        <f t="shared" si="1"/>
        <v>0</v>
      </c>
      <c r="BX21" s="14"/>
      <c r="BY21" s="8"/>
      <c r="BZ21" s="13">
        <f t="shared" si="2"/>
        <v>0</v>
      </c>
      <c r="CB21" s="15"/>
      <c r="CD21" s="8"/>
      <c r="CE21" s="13">
        <f t="shared" si="3"/>
        <v>0</v>
      </c>
      <c r="CG21" s="9"/>
      <c r="CH21" s="13">
        <f t="shared" si="4"/>
        <v>0</v>
      </c>
      <c r="CI21" s="16">
        <f t="shared" si="5"/>
        <v>0</v>
      </c>
      <c r="CK21" s="8">
        <f t="shared" si="6"/>
        <v>0</v>
      </c>
      <c r="CL21" s="13">
        <f t="shared" si="7"/>
        <v>0</v>
      </c>
      <c r="CM21" s="13">
        <f t="shared" si="8"/>
        <v>0</v>
      </c>
      <c r="CO21" s="14">
        <f t="shared" si="12"/>
        <v>0</v>
      </c>
      <c r="CP21" s="8">
        <f t="shared" si="13"/>
        <v>0</v>
      </c>
      <c r="CQ21" s="13">
        <f t="shared" si="9"/>
        <v>0</v>
      </c>
      <c r="CR21" s="17" t="str">
        <f t="shared" si="10"/>
        <v>nenhuma</v>
      </c>
      <c r="CS21" s="13">
        <f t="shared" si="11"/>
        <v>0</v>
      </c>
    </row>
    <row r="22" spans="1:97" x14ac:dyDescent="0.25">
      <c r="A22" s="7">
        <v>18</v>
      </c>
      <c r="B22" s="40"/>
      <c r="C22" s="40"/>
      <c r="D22" s="40"/>
      <c r="E22" s="40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9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P22" s="18">
        <f t="shared" si="0"/>
        <v>0</v>
      </c>
      <c r="BR22" s="11"/>
      <c r="BS22" s="22"/>
      <c r="BT22" s="25"/>
      <c r="BU22" s="23"/>
      <c r="BV22" s="13">
        <f t="shared" si="1"/>
        <v>0</v>
      </c>
      <c r="BX22" s="14"/>
      <c r="BY22" s="8"/>
      <c r="BZ22" s="13">
        <f t="shared" si="2"/>
        <v>0</v>
      </c>
      <c r="CB22" s="15"/>
      <c r="CD22" s="8"/>
      <c r="CE22" s="13">
        <f t="shared" si="3"/>
        <v>0</v>
      </c>
      <c r="CG22" s="9"/>
      <c r="CH22" s="13">
        <f t="shared" si="4"/>
        <v>0</v>
      </c>
      <c r="CI22" s="16">
        <f t="shared" si="5"/>
        <v>0</v>
      </c>
      <c r="CK22" s="8">
        <f t="shared" si="6"/>
        <v>0</v>
      </c>
      <c r="CL22" s="13">
        <f t="shared" si="7"/>
        <v>0</v>
      </c>
      <c r="CM22" s="13">
        <f t="shared" si="8"/>
        <v>0</v>
      </c>
      <c r="CO22" s="14">
        <f t="shared" si="12"/>
        <v>0</v>
      </c>
      <c r="CP22" s="8">
        <f t="shared" si="13"/>
        <v>0</v>
      </c>
      <c r="CQ22" s="13">
        <f t="shared" si="9"/>
        <v>0</v>
      </c>
      <c r="CR22" s="17" t="str">
        <f t="shared" si="10"/>
        <v>nenhuma</v>
      </c>
      <c r="CS22" s="13">
        <f t="shared" si="11"/>
        <v>0</v>
      </c>
    </row>
    <row r="23" spans="1:97" x14ac:dyDescent="0.25">
      <c r="A23" s="7">
        <v>19</v>
      </c>
      <c r="B23" s="40"/>
      <c r="C23" s="40"/>
      <c r="D23" s="40"/>
      <c r="E23" s="40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P23" s="10">
        <f t="shared" si="0"/>
        <v>0</v>
      </c>
      <c r="BR23" s="11"/>
      <c r="BS23" s="22"/>
      <c r="BT23" s="25"/>
      <c r="BU23" s="23"/>
      <c r="BV23" s="13">
        <f t="shared" si="1"/>
        <v>0</v>
      </c>
      <c r="BX23" s="14"/>
      <c r="BY23" s="8"/>
      <c r="BZ23" s="13">
        <f t="shared" si="2"/>
        <v>0</v>
      </c>
      <c r="CB23" s="15"/>
      <c r="CD23" s="8"/>
      <c r="CE23" s="13">
        <f t="shared" si="3"/>
        <v>0</v>
      </c>
      <c r="CG23" s="9"/>
      <c r="CH23" s="13">
        <f t="shared" si="4"/>
        <v>0</v>
      </c>
      <c r="CI23" s="16">
        <f t="shared" si="5"/>
        <v>0</v>
      </c>
      <c r="CK23" s="8">
        <f t="shared" si="6"/>
        <v>0</v>
      </c>
      <c r="CL23" s="13">
        <f t="shared" si="7"/>
        <v>0</v>
      </c>
      <c r="CM23" s="13">
        <f t="shared" si="8"/>
        <v>0</v>
      </c>
      <c r="CO23" s="14">
        <f t="shared" si="12"/>
        <v>0</v>
      </c>
      <c r="CP23" s="8">
        <f t="shared" si="13"/>
        <v>0</v>
      </c>
      <c r="CQ23" s="13">
        <f t="shared" si="9"/>
        <v>0</v>
      </c>
      <c r="CR23" s="17" t="str">
        <f t="shared" si="10"/>
        <v>nenhuma</v>
      </c>
      <c r="CS23" s="13">
        <f t="shared" si="11"/>
        <v>0</v>
      </c>
    </row>
    <row r="24" spans="1:97" x14ac:dyDescent="0.25">
      <c r="A24" s="7">
        <v>20</v>
      </c>
      <c r="B24" s="40"/>
      <c r="C24" s="40"/>
      <c r="D24" s="40"/>
      <c r="E24" s="40"/>
      <c r="F24" s="27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P24" s="10">
        <f t="shared" si="0"/>
        <v>0</v>
      </c>
      <c r="BR24" s="11"/>
      <c r="BS24" s="22"/>
      <c r="BT24" s="25"/>
      <c r="BU24" s="23"/>
      <c r="BV24" s="13">
        <f t="shared" si="1"/>
        <v>0</v>
      </c>
      <c r="BX24" s="14"/>
      <c r="BY24" s="8"/>
      <c r="BZ24" s="13">
        <f t="shared" si="2"/>
        <v>0</v>
      </c>
      <c r="CB24" s="15"/>
      <c r="CD24" s="8"/>
      <c r="CE24" s="13">
        <f t="shared" si="3"/>
        <v>0</v>
      </c>
      <c r="CG24" s="9"/>
      <c r="CH24" s="13">
        <f t="shared" si="4"/>
        <v>0</v>
      </c>
      <c r="CI24" s="16">
        <f t="shared" si="5"/>
        <v>0</v>
      </c>
      <c r="CK24" s="8">
        <f t="shared" si="6"/>
        <v>0</v>
      </c>
      <c r="CL24" s="13">
        <f t="shared" si="7"/>
        <v>0</v>
      </c>
      <c r="CM24" s="13">
        <f t="shared" si="8"/>
        <v>0</v>
      </c>
      <c r="CO24" s="14">
        <f t="shared" si="12"/>
        <v>0</v>
      </c>
      <c r="CP24" s="8">
        <f t="shared" si="13"/>
        <v>0</v>
      </c>
      <c r="CQ24" s="13">
        <f t="shared" si="9"/>
        <v>0</v>
      </c>
      <c r="CR24" s="17" t="str">
        <f t="shared" si="10"/>
        <v>nenhuma</v>
      </c>
      <c r="CS24" s="13">
        <f t="shared" si="11"/>
        <v>0</v>
      </c>
    </row>
    <row r="25" spans="1:97" x14ac:dyDescent="0.25">
      <c r="A25" s="7">
        <v>21</v>
      </c>
      <c r="B25" s="40"/>
      <c r="C25" s="40"/>
      <c r="D25" s="40"/>
      <c r="E25" s="40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P25" s="10">
        <f t="shared" si="0"/>
        <v>0</v>
      </c>
      <c r="BR25" s="11"/>
      <c r="BS25" s="22"/>
      <c r="BT25" s="25"/>
      <c r="BU25" s="23"/>
      <c r="BV25" s="13">
        <f t="shared" si="1"/>
        <v>0</v>
      </c>
      <c r="BX25" s="14"/>
      <c r="BY25" s="8"/>
      <c r="BZ25" s="13">
        <f t="shared" si="2"/>
        <v>0</v>
      </c>
      <c r="CB25" s="15"/>
      <c r="CD25" s="8"/>
      <c r="CE25" s="13">
        <f t="shared" si="3"/>
        <v>0</v>
      </c>
      <c r="CG25" s="9"/>
      <c r="CH25" s="13">
        <f t="shared" si="4"/>
        <v>0</v>
      </c>
      <c r="CI25" s="16">
        <f t="shared" si="5"/>
        <v>0</v>
      </c>
      <c r="CK25" s="8">
        <f t="shared" si="6"/>
        <v>0</v>
      </c>
      <c r="CL25" s="13">
        <f t="shared" si="7"/>
        <v>0</v>
      </c>
      <c r="CM25" s="13">
        <f t="shared" si="8"/>
        <v>0</v>
      </c>
      <c r="CO25" s="14">
        <f t="shared" si="12"/>
        <v>0</v>
      </c>
      <c r="CP25" s="8">
        <f t="shared" si="13"/>
        <v>0</v>
      </c>
      <c r="CQ25" s="13">
        <f t="shared" si="9"/>
        <v>0</v>
      </c>
      <c r="CR25" s="17" t="str">
        <f t="shared" si="10"/>
        <v>nenhuma</v>
      </c>
      <c r="CS25" s="13">
        <f t="shared" si="11"/>
        <v>0</v>
      </c>
    </row>
    <row r="26" spans="1:97" x14ac:dyDescent="0.25">
      <c r="A26" s="7">
        <v>22</v>
      </c>
      <c r="B26" s="40"/>
      <c r="C26" s="40"/>
      <c r="D26" s="40"/>
      <c r="E26" s="40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P26" s="18">
        <f t="shared" si="0"/>
        <v>0</v>
      </c>
      <c r="BR26" s="11"/>
      <c r="BS26" s="22"/>
      <c r="BT26" s="25"/>
      <c r="BU26" s="23"/>
      <c r="BV26" s="13">
        <f t="shared" si="1"/>
        <v>0</v>
      </c>
      <c r="BX26" s="14"/>
      <c r="BY26" s="8"/>
      <c r="BZ26" s="13">
        <f t="shared" si="2"/>
        <v>0</v>
      </c>
      <c r="CB26" s="15"/>
      <c r="CD26" s="8"/>
      <c r="CE26" s="13">
        <f t="shared" si="3"/>
        <v>0</v>
      </c>
      <c r="CG26" s="9"/>
      <c r="CH26" s="13">
        <f t="shared" si="4"/>
        <v>0</v>
      </c>
      <c r="CI26" s="16">
        <f t="shared" si="5"/>
        <v>0</v>
      </c>
      <c r="CK26" s="8">
        <f t="shared" si="6"/>
        <v>0</v>
      </c>
      <c r="CL26" s="13">
        <f t="shared" si="7"/>
        <v>0</v>
      </c>
      <c r="CM26" s="13">
        <f t="shared" si="8"/>
        <v>0</v>
      </c>
      <c r="CO26" s="14">
        <f t="shared" si="12"/>
        <v>0</v>
      </c>
      <c r="CP26" s="8">
        <f t="shared" si="13"/>
        <v>0</v>
      </c>
      <c r="CQ26" s="13">
        <f t="shared" si="9"/>
        <v>0</v>
      </c>
      <c r="CR26" s="17" t="str">
        <f t="shared" si="10"/>
        <v>nenhuma</v>
      </c>
      <c r="CS26" s="13">
        <f t="shared" si="11"/>
        <v>0</v>
      </c>
    </row>
    <row r="27" spans="1:97" x14ac:dyDescent="0.25">
      <c r="A27" s="7">
        <v>23</v>
      </c>
      <c r="B27" s="40"/>
      <c r="C27" s="40"/>
      <c r="D27" s="40"/>
      <c r="E27" s="40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P27" s="10">
        <f t="shared" si="0"/>
        <v>0</v>
      </c>
      <c r="BR27" s="11"/>
      <c r="BS27" s="22"/>
      <c r="BT27" s="25"/>
      <c r="BU27" s="23"/>
      <c r="BV27" s="13">
        <f t="shared" si="1"/>
        <v>0</v>
      </c>
      <c r="BX27" s="14"/>
      <c r="BY27" s="8"/>
      <c r="BZ27" s="13">
        <f t="shared" si="2"/>
        <v>0</v>
      </c>
      <c r="CB27" s="15"/>
      <c r="CD27" s="8"/>
      <c r="CE27" s="13">
        <f t="shared" si="3"/>
        <v>0</v>
      </c>
      <c r="CG27" s="9"/>
      <c r="CH27" s="13">
        <f t="shared" si="4"/>
        <v>0</v>
      </c>
      <c r="CI27" s="16">
        <f t="shared" si="5"/>
        <v>0</v>
      </c>
      <c r="CK27" s="8">
        <f t="shared" si="6"/>
        <v>0</v>
      </c>
      <c r="CL27" s="13">
        <f t="shared" si="7"/>
        <v>0</v>
      </c>
      <c r="CM27" s="13">
        <f t="shared" si="8"/>
        <v>0</v>
      </c>
      <c r="CO27" s="14">
        <f t="shared" si="12"/>
        <v>0</v>
      </c>
      <c r="CP27" s="8">
        <f t="shared" si="13"/>
        <v>0</v>
      </c>
      <c r="CQ27" s="13">
        <f t="shared" si="9"/>
        <v>0</v>
      </c>
      <c r="CR27" s="17" t="str">
        <f t="shared" si="10"/>
        <v>nenhuma</v>
      </c>
      <c r="CS27" s="13">
        <f t="shared" si="11"/>
        <v>0</v>
      </c>
    </row>
    <row r="28" spans="1:97" x14ac:dyDescent="0.25">
      <c r="A28" s="7">
        <v>24</v>
      </c>
      <c r="B28" s="40"/>
      <c r="C28" s="40"/>
      <c r="D28" s="40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P28" s="10">
        <f t="shared" si="0"/>
        <v>0</v>
      </c>
      <c r="BR28" s="11"/>
      <c r="BS28" s="22"/>
      <c r="BT28" s="25"/>
      <c r="BU28" s="23"/>
      <c r="BV28" s="13">
        <f t="shared" si="1"/>
        <v>0</v>
      </c>
      <c r="BX28" s="14"/>
      <c r="BY28" s="8"/>
      <c r="BZ28" s="13">
        <f t="shared" si="2"/>
        <v>0</v>
      </c>
      <c r="CB28" s="15"/>
      <c r="CD28" s="8"/>
      <c r="CE28" s="13">
        <f t="shared" si="3"/>
        <v>0</v>
      </c>
      <c r="CG28" s="9"/>
      <c r="CH28" s="13">
        <f t="shared" si="4"/>
        <v>0</v>
      </c>
      <c r="CI28" s="16">
        <f t="shared" si="5"/>
        <v>0</v>
      </c>
      <c r="CK28" s="8">
        <f t="shared" si="6"/>
        <v>0</v>
      </c>
      <c r="CL28" s="13">
        <f t="shared" si="7"/>
        <v>0</v>
      </c>
      <c r="CM28" s="13">
        <f t="shared" si="8"/>
        <v>0</v>
      </c>
      <c r="CO28" s="14">
        <f t="shared" si="12"/>
        <v>0</v>
      </c>
      <c r="CP28" s="8">
        <f t="shared" ref="CP28:CP68" si="14">BY28</f>
        <v>0</v>
      </c>
      <c r="CQ28" s="13">
        <f t="shared" si="9"/>
        <v>0</v>
      </c>
      <c r="CR28" s="17" t="str">
        <f t="shared" si="10"/>
        <v>nenhuma</v>
      </c>
      <c r="CS28" s="13">
        <f t="shared" si="11"/>
        <v>0</v>
      </c>
    </row>
    <row r="29" spans="1:97" x14ac:dyDescent="0.25">
      <c r="A29" s="7">
        <v>25</v>
      </c>
      <c r="B29" s="40"/>
      <c r="C29" s="40"/>
      <c r="D29" s="40"/>
      <c r="E29" s="40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P29" s="10">
        <f t="shared" si="0"/>
        <v>0</v>
      </c>
      <c r="BR29" s="11"/>
      <c r="BS29" s="22"/>
      <c r="BT29" s="25"/>
      <c r="BU29" s="23"/>
      <c r="BV29" s="13">
        <f t="shared" si="1"/>
        <v>0</v>
      </c>
      <c r="BX29" s="14"/>
      <c r="BY29" s="8"/>
      <c r="BZ29" s="13">
        <f t="shared" si="2"/>
        <v>0</v>
      </c>
      <c r="CB29" s="15"/>
      <c r="CD29" s="8"/>
      <c r="CE29" s="13">
        <f t="shared" si="3"/>
        <v>0</v>
      </c>
      <c r="CG29" s="9"/>
      <c r="CH29" s="13">
        <f t="shared" si="4"/>
        <v>0</v>
      </c>
      <c r="CI29" s="16">
        <f t="shared" si="5"/>
        <v>0</v>
      </c>
      <c r="CK29" s="8">
        <f t="shared" si="6"/>
        <v>0</v>
      </c>
      <c r="CL29" s="13">
        <f t="shared" si="7"/>
        <v>0</v>
      </c>
      <c r="CM29" s="13">
        <f t="shared" si="8"/>
        <v>0</v>
      </c>
      <c r="CO29" s="14">
        <f t="shared" ref="CO29:CO70" si="15">BX29</f>
        <v>0</v>
      </c>
      <c r="CP29" s="8">
        <f t="shared" si="14"/>
        <v>0</v>
      </c>
      <c r="CQ29" s="13">
        <f t="shared" si="9"/>
        <v>0</v>
      </c>
      <c r="CR29" s="17" t="str">
        <f t="shared" si="10"/>
        <v>nenhuma</v>
      </c>
      <c r="CS29" s="13">
        <f t="shared" si="11"/>
        <v>0</v>
      </c>
    </row>
    <row r="30" spans="1:97" x14ac:dyDescent="0.25">
      <c r="A30" s="7">
        <v>26</v>
      </c>
      <c r="B30" s="40"/>
      <c r="C30" s="40"/>
      <c r="D30" s="40"/>
      <c r="E30" s="40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P30" s="10">
        <f t="shared" si="0"/>
        <v>0</v>
      </c>
      <c r="BR30" s="11"/>
      <c r="BS30" s="22"/>
      <c r="BT30" s="25"/>
      <c r="BU30" s="23"/>
      <c r="BV30" s="13">
        <f t="shared" si="1"/>
        <v>0</v>
      </c>
      <c r="BX30" s="14"/>
      <c r="BY30" s="8"/>
      <c r="BZ30" s="13">
        <f t="shared" si="2"/>
        <v>0</v>
      </c>
      <c r="CB30" s="15"/>
      <c r="CD30" s="8"/>
      <c r="CE30" s="13">
        <f t="shared" si="3"/>
        <v>0</v>
      </c>
      <c r="CG30" s="9"/>
      <c r="CH30" s="13">
        <f t="shared" si="4"/>
        <v>0</v>
      </c>
      <c r="CI30" s="16">
        <f t="shared" si="5"/>
        <v>0</v>
      </c>
      <c r="CK30" s="8">
        <f t="shared" si="6"/>
        <v>0</v>
      </c>
      <c r="CL30" s="13">
        <f t="shared" si="7"/>
        <v>0</v>
      </c>
      <c r="CM30" s="13">
        <f t="shared" si="8"/>
        <v>0</v>
      </c>
      <c r="CO30" s="14">
        <f t="shared" si="15"/>
        <v>0</v>
      </c>
      <c r="CP30" s="8">
        <f t="shared" si="14"/>
        <v>0</v>
      </c>
      <c r="CQ30" s="13">
        <f t="shared" si="9"/>
        <v>0</v>
      </c>
      <c r="CR30" s="17" t="str">
        <f t="shared" si="10"/>
        <v>nenhuma</v>
      </c>
      <c r="CS30" s="13">
        <f t="shared" si="11"/>
        <v>0</v>
      </c>
    </row>
    <row r="31" spans="1:97" x14ac:dyDescent="0.25">
      <c r="A31" s="7">
        <v>27</v>
      </c>
      <c r="B31" s="40"/>
      <c r="C31" s="40"/>
      <c r="D31" s="40"/>
      <c r="E31" s="40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P31" s="10">
        <f t="shared" si="0"/>
        <v>0</v>
      </c>
      <c r="BR31" s="11"/>
      <c r="BS31" s="22"/>
      <c r="BT31" s="25"/>
      <c r="BU31" s="23"/>
      <c r="BV31" s="13">
        <f t="shared" si="1"/>
        <v>0</v>
      </c>
      <c r="BX31" s="14"/>
      <c r="BY31" s="8"/>
      <c r="BZ31" s="13">
        <f t="shared" si="2"/>
        <v>0</v>
      </c>
      <c r="CB31" s="15"/>
      <c r="CD31" s="8"/>
      <c r="CE31" s="13">
        <f t="shared" si="3"/>
        <v>0</v>
      </c>
      <c r="CG31" s="9"/>
      <c r="CH31" s="13">
        <f t="shared" si="4"/>
        <v>0</v>
      </c>
      <c r="CI31" s="16">
        <f t="shared" si="5"/>
        <v>0</v>
      </c>
      <c r="CK31" s="8">
        <f t="shared" si="6"/>
        <v>0</v>
      </c>
      <c r="CL31" s="13">
        <f t="shared" si="7"/>
        <v>0</v>
      </c>
      <c r="CM31" s="13">
        <f t="shared" si="8"/>
        <v>0</v>
      </c>
      <c r="CO31" s="14">
        <f t="shared" si="15"/>
        <v>0</v>
      </c>
      <c r="CP31" s="8">
        <f t="shared" si="14"/>
        <v>0</v>
      </c>
      <c r="CQ31" s="13">
        <f t="shared" si="9"/>
        <v>0</v>
      </c>
      <c r="CR31" s="17" t="str">
        <f t="shared" si="10"/>
        <v>nenhuma</v>
      </c>
      <c r="CS31" s="13">
        <f t="shared" si="11"/>
        <v>0</v>
      </c>
    </row>
    <row r="32" spans="1:97" x14ac:dyDescent="0.25">
      <c r="A32" s="7">
        <v>28</v>
      </c>
      <c r="B32" s="40"/>
      <c r="C32" s="40"/>
      <c r="D32" s="40"/>
      <c r="E32" s="40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P32" s="10">
        <f t="shared" si="0"/>
        <v>0</v>
      </c>
      <c r="BR32" s="11"/>
      <c r="BS32" s="22"/>
      <c r="BT32" s="25"/>
      <c r="BU32" s="23"/>
      <c r="BV32" s="13">
        <f t="shared" si="1"/>
        <v>0</v>
      </c>
      <c r="BX32" s="14"/>
      <c r="BY32" s="8"/>
      <c r="BZ32" s="13">
        <f t="shared" si="2"/>
        <v>0</v>
      </c>
      <c r="CB32" s="15"/>
      <c r="CD32" s="8"/>
      <c r="CE32" s="13">
        <f t="shared" si="3"/>
        <v>0</v>
      </c>
      <c r="CG32" s="9"/>
      <c r="CH32" s="13">
        <f t="shared" si="4"/>
        <v>0</v>
      </c>
      <c r="CI32" s="16">
        <f t="shared" si="5"/>
        <v>0</v>
      </c>
      <c r="CK32" s="8"/>
      <c r="CL32" s="13"/>
      <c r="CM32" s="13"/>
      <c r="CO32" s="14">
        <f t="shared" si="15"/>
        <v>0</v>
      </c>
      <c r="CP32" s="8">
        <f t="shared" si="14"/>
        <v>0</v>
      </c>
      <c r="CQ32" s="13">
        <f t="shared" si="9"/>
        <v>0</v>
      </c>
      <c r="CR32" s="17" t="str">
        <f t="shared" si="10"/>
        <v>nenhuma</v>
      </c>
      <c r="CS32" s="13">
        <f t="shared" si="11"/>
        <v>0</v>
      </c>
    </row>
    <row r="33" spans="1:97" x14ac:dyDescent="0.25">
      <c r="A33" s="7">
        <v>29</v>
      </c>
      <c r="B33" s="40"/>
      <c r="C33" s="40"/>
      <c r="D33" s="40"/>
      <c r="E33" s="40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P33" s="10">
        <f t="shared" si="0"/>
        <v>0</v>
      </c>
      <c r="BR33" s="11"/>
      <c r="BS33" s="22"/>
      <c r="BT33" s="25"/>
      <c r="BU33" s="23"/>
      <c r="BV33" s="13">
        <f t="shared" si="1"/>
        <v>0</v>
      </c>
      <c r="BX33" s="14"/>
      <c r="BY33" s="8"/>
      <c r="BZ33" s="13">
        <f t="shared" si="2"/>
        <v>0</v>
      </c>
      <c r="CB33" s="15"/>
      <c r="CD33" s="8"/>
      <c r="CE33" s="13">
        <f t="shared" si="3"/>
        <v>0</v>
      </c>
      <c r="CG33" s="9"/>
      <c r="CH33" s="13">
        <f t="shared" si="4"/>
        <v>0</v>
      </c>
      <c r="CI33" s="16">
        <f t="shared" si="5"/>
        <v>0</v>
      </c>
      <c r="CK33" s="8">
        <f>CD33</f>
        <v>0</v>
      </c>
      <c r="CL33" s="13">
        <f>IF(CK33="","",SUMIF($CB$5:$CB$220,"="&amp;CK33,$CH$5:$CH$220))</f>
        <v>0</v>
      </c>
      <c r="CM33" s="13">
        <f>IF(CE33&gt;=0,IF(CL33&gt;=0,CE33-CL33,0),0)</f>
        <v>0</v>
      </c>
      <c r="CO33" s="14">
        <f t="shared" si="15"/>
        <v>0</v>
      </c>
      <c r="CP33" s="8">
        <f t="shared" si="14"/>
        <v>0</v>
      </c>
      <c r="CQ33" s="13">
        <f t="shared" si="9"/>
        <v>0</v>
      </c>
      <c r="CR33" s="17" t="str">
        <f t="shared" si="10"/>
        <v>nenhuma</v>
      </c>
      <c r="CS33" s="13">
        <f t="shared" si="11"/>
        <v>0</v>
      </c>
    </row>
    <row r="34" spans="1:97" x14ac:dyDescent="0.25">
      <c r="A34" s="7">
        <v>30</v>
      </c>
      <c r="B34" s="40"/>
      <c r="C34" s="40"/>
      <c r="D34" s="40"/>
      <c r="E34" s="40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P34" s="10">
        <f t="shared" si="0"/>
        <v>0</v>
      </c>
      <c r="BR34" s="11"/>
      <c r="BS34" s="22"/>
      <c r="BT34" s="25"/>
      <c r="BU34" s="23"/>
      <c r="BV34" s="13">
        <f t="shared" si="1"/>
        <v>0</v>
      </c>
      <c r="BX34" s="14"/>
      <c r="BY34" s="8"/>
      <c r="BZ34" s="13">
        <f t="shared" si="2"/>
        <v>0</v>
      </c>
      <c r="CB34" s="15"/>
      <c r="CD34" s="8"/>
      <c r="CE34" s="13">
        <f t="shared" si="3"/>
        <v>0</v>
      </c>
      <c r="CG34" s="9"/>
      <c r="CH34" s="13">
        <f t="shared" si="4"/>
        <v>0</v>
      </c>
      <c r="CI34" s="16">
        <f t="shared" si="5"/>
        <v>0</v>
      </c>
      <c r="CK34" s="8">
        <f>CD34</f>
        <v>0</v>
      </c>
      <c r="CL34" s="13">
        <f>IF(CK34="","",SUMIF($CB$5:$CB$220,"="&amp;CK34,$CH$5:$CH$220))</f>
        <v>0</v>
      </c>
      <c r="CM34" s="13">
        <f>IF(CE34&gt;=0,IF(CL34&gt;=0,CE34-CL34,0),0)</f>
        <v>0</v>
      </c>
      <c r="CO34" s="14">
        <f t="shared" si="15"/>
        <v>0</v>
      </c>
      <c r="CP34" s="8">
        <f t="shared" si="14"/>
        <v>0</v>
      </c>
      <c r="CQ34" s="13">
        <f t="shared" si="9"/>
        <v>0</v>
      </c>
      <c r="CR34" s="17" t="str">
        <f t="shared" si="10"/>
        <v>nenhuma</v>
      </c>
      <c r="CS34" s="13">
        <f t="shared" si="11"/>
        <v>0</v>
      </c>
    </row>
    <row r="35" spans="1:97" x14ac:dyDescent="0.25">
      <c r="A35" s="7">
        <v>31</v>
      </c>
      <c r="B35" s="41"/>
      <c r="C35" s="41"/>
      <c r="D35" s="41"/>
      <c r="E35" s="41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P35" s="10">
        <f t="shared" si="0"/>
        <v>0</v>
      </c>
      <c r="BR35" s="11"/>
      <c r="BS35" s="12"/>
      <c r="BT35" s="24"/>
      <c r="BU35" s="12"/>
      <c r="BV35" s="13">
        <f t="shared" si="1"/>
        <v>0</v>
      </c>
      <c r="BX35" s="14"/>
      <c r="BY35" s="8"/>
      <c r="BZ35" s="13">
        <f t="shared" si="2"/>
        <v>0</v>
      </c>
      <c r="CB35" s="15"/>
      <c r="CD35" s="8"/>
      <c r="CE35" s="13">
        <f t="shared" si="3"/>
        <v>0</v>
      </c>
      <c r="CG35" s="9"/>
      <c r="CH35" s="13">
        <f t="shared" si="4"/>
        <v>0</v>
      </c>
      <c r="CI35" s="16">
        <f t="shared" si="5"/>
        <v>0</v>
      </c>
      <c r="CK35" s="8"/>
      <c r="CL35" s="13"/>
      <c r="CM35" s="13"/>
      <c r="CO35" s="14">
        <f t="shared" si="15"/>
        <v>0</v>
      </c>
      <c r="CP35" s="8">
        <f t="shared" si="14"/>
        <v>0</v>
      </c>
      <c r="CQ35" s="13">
        <f t="shared" si="9"/>
        <v>0</v>
      </c>
      <c r="CR35" s="17" t="str">
        <f t="shared" si="10"/>
        <v>nenhuma</v>
      </c>
      <c r="CS35" s="13">
        <f t="shared" si="11"/>
        <v>0</v>
      </c>
    </row>
    <row r="36" spans="1:97" x14ac:dyDescent="0.25">
      <c r="A36" s="7">
        <v>32</v>
      </c>
      <c r="B36" s="41"/>
      <c r="C36" s="41"/>
      <c r="D36" s="41"/>
      <c r="E36" s="41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P36" s="10">
        <f t="shared" si="0"/>
        <v>0</v>
      </c>
      <c r="BR36" s="11"/>
      <c r="BS36" s="12"/>
      <c r="BT36" s="19"/>
      <c r="BU36" s="12"/>
      <c r="BV36" s="13">
        <f t="shared" si="1"/>
        <v>0</v>
      </c>
      <c r="BX36" s="14"/>
      <c r="BY36" s="8"/>
      <c r="BZ36" s="13">
        <f t="shared" si="2"/>
        <v>0</v>
      </c>
      <c r="CB36" s="15"/>
      <c r="CD36" s="8"/>
      <c r="CE36" s="13">
        <f t="shared" si="3"/>
        <v>0</v>
      </c>
      <c r="CG36" s="9"/>
      <c r="CH36" s="13">
        <f t="shared" si="4"/>
        <v>0</v>
      </c>
      <c r="CI36" s="16">
        <f t="shared" si="5"/>
        <v>0</v>
      </c>
      <c r="CK36" s="8"/>
      <c r="CL36" s="13"/>
      <c r="CM36" s="13"/>
      <c r="CO36" s="14">
        <f t="shared" si="15"/>
        <v>0</v>
      </c>
      <c r="CP36" s="8">
        <f t="shared" si="14"/>
        <v>0</v>
      </c>
      <c r="CQ36" s="13">
        <f t="shared" si="9"/>
        <v>0</v>
      </c>
      <c r="CR36" s="17" t="str">
        <f t="shared" si="10"/>
        <v>nenhuma</v>
      </c>
      <c r="CS36" s="13">
        <f t="shared" si="11"/>
        <v>0</v>
      </c>
    </row>
    <row r="37" spans="1:97" x14ac:dyDescent="0.25">
      <c r="A37" s="7">
        <v>33</v>
      </c>
      <c r="B37" s="41"/>
      <c r="C37" s="41"/>
      <c r="D37" s="41"/>
      <c r="E37" s="41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P37" s="10">
        <f t="shared" si="0"/>
        <v>0</v>
      </c>
      <c r="BR37" s="11"/>
      <c r="BS37" s="12"/>
      <c r="BT37" s="19"/>
      <c r="BU37" s="12"/>
      <c r="BV37" s="13">
        <f t="shared" si="1"/>
        <v>0</v>
      </c>
      <c r="BX37" s="14"/>
      <c r="BY37" s="8"/>
      <c r="BZ37" s="13">
        <f t="shared" si="2"/>
        <v>0</v>
      </c>
      <c r="CB37" s="15"/>
      <c r="CD37" s="8"/>
      <c r="CE37" s="13">
        <f t="shared" si="3"/>
        <v>0</v>
      </c>
      <c r="CG37" s="9"/>
      <c r="CH37" s="13">
        <f t="shared" si="4"/>
        <v>0</v>
      </c>
      <c r="CI37" s="16">
        <f t="shared" si="5"/>
        <v>0</v>
      </c>
      <c r="CK37" s="8"/>
      <c r="CL37" s="13"/>
      <c r="CM37" s="13"/>
      <c r="CO37" s="14">
        <f t="shared" si="15"/>
        <v>0</v>
      </c>
      <c r="CP37" s="8">
        <f t="shared" si="14"/>
        <v>0</v>
      </c>
      <c r="CQ37" s="13">
        <f t="shared" si="9"/>
        <v>0</v>
      </c>
      <c r="CR37" s="17" t="str">
        <f t="shared" si="10"/>
        <v>nenhuma</v>
      </c>
      <c r="CS37" s="13">
        <f t="shared" si="11"/>
        <v>0</v>
      </c>
    </row>
    <row r="38" spans="1:97" x14ac:dyDescent="0.25">
      <c r="A38" s="7">
        <v>34</v>
      </c>
      <c r="B38" s="41"/>
      <c r="C38" s="41"/>
      <c r="D38" s="41"/>
      <c r="E38" s="41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P38" s="10">
        <f t="shared" si="0"/>
        <v>0</v>
      </c>
      <c r="BR38" s="11"/>
      <c r="BS38" s="12"/>
      <c r="BT38" s="19"/>
      <c r="BU38" s="12"/>
      <c r="BV38" s="13">
        <f t="shared" si="1"/>
        <v>0</v>
      </c>
      <c r="BX38" s="14"/>
      <c r="BY38" s="8"/>
      <c r="BZ38" s="13">
        <f t="shared" si="2"/>
        <v>0</v>
      </c>
      <c r="CB38" s="15"/>
      <c r="CD38" s="8"/>
      <c r="CE38" s="13">
        <f t="shared" si="3"/>
        <v>0</v>
      </c>
      <c r="CG38" s="9"/>
      <c r="CH38" s="13">
        <f t="shared" si="4"/>
        <v>0</v>
      </c>
      <c r="CI38" s="16">
        <f t="shared" si="5"/>
        <v>0</v>
      </c>
      <c r="CK38" s="8"/>
      <c r="CL38" s="13"/>
      <c r="CM38" s="13"/>
      <c r="CO38" s="14">
        <f t="shared" si="15"/>
        <v>0</v>
      </c>
      <c r="CP38" s="8">
        <f t="shared" si="14"/>
        <v>0</v>
      </c>
      <c r="CQ38" s="13">
        <f t="shared" si="9"/>
        <v>0</v>
      </c>
      <c r="CR38" s="17" t="str">
        <f t="shared" si="10"/>
        <v>nenhuma</v>
      </c>
      <c r="CS38" s="13">
        <f t="shared" si="11"/>
        <v>0</v>
      </c>
    </row>
    <row r="39" spans="1:97" x14ac:dyDescent="0.25">
      <c r="A39" s="7">
        <v>35</v>
      </c>
      <c r="B39" s="41"/>
      <c r="C39" s="41"/>
      <c r="D39" s="41"/>
      <c r="E39" s="41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P39" s="10">
        <f t="shared" si="0"/>
        <v>0</v>
      </c>
      <c r="BR39" s="11"/>
      <c r="BS39" s="12"/>
      <c r="BT39" s="19"/>
      <c r="BU39" s="12"/>
      <c r="BV39" s="13">
        <f t="shared" si="1"/>
        <v>0</v>
      </c>
      <c r="BX39" s="14"/>
      <c r="BY39" s="8"/>
      <c r="BZ39" s="13">
        <f t="shared" si="2"/>
        <v>0</v>
      </c>
      <c r="CB39" s="15"/>
      <c r="CD39" s="8"/>
      <c r="CE39" s="13">
        <f t="shared" si="3"/>
        <v>0</v>
      </c>
      <c r="CG39" s="9"/>
      <c r="CH39" s="13">
        <f t="shared" si="4"/>
        <v>0</v>
      </c>
      <c r="CI39" s="16">
        <f t="shared" si="5"/>
        <v>0</v>
      </c>
      <c r="CK39" s="8"/>
      <c r="CL39" s="13"/>
      <c r="CM39" s="13"/>
      <c r="CO39" s="14">
        <f t="shared" si="15"/>
        <v>0</v>
      </c>
      <c r="CP39" s="8">
        <f t="shared" si="14"/>
        <v>0</v>
      </c>
      <c r="CQ39" s="13">
        <f t="shared" si="9"/>
        <v>0</v>
      </c>
      <c r="CR39" s="17" t="str">
        <f t="shared" si="10"/>
        <v>nenhuma</v>
      </c>
      <c r="CS39" s="13">
        <f t="shared" si="11"/>
        <v>0</v>
      </c>
    </row>
    <row r="40" spans="1:97" x14ac:dyDescent="0.25">
      <c r="A40" s="7">
        <v>36</v>
      </c>
      <c r="B40" s="41"/>
      <c r="C40" s="41"/>
      <c r="D40" s="41"/>
      <c r="E40" s="41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P40" s="10">
        <f t="shared" si="0"/>
        <v>0</v>
      </c>
      <c r="BR40" s="11"/>
      <c r="BS40" s="12"/>
      <c r="BT40" s="19"/>
      <c r="BU40" s="12"/>
      <c r="BV40" s="13">
        <f t="shared" si="1"/>
        <v>0</v>
      </c>
      <c r="BX40" s="14"/>
      <c r="BY40" s="8"/>
      <c r="BZ40" s="13">
        <f t="shared" si="2"/>
        <v>0</v>
      </c>
      <c r="CB40" s="15"/>
      <c r="CD40" s="8"/>
      <c r="CE40" s="13">
        <f t="shared" si="3"/>
        <v>0</v>
      </c>
      <c r="CG40" s="9"/>
      <c r="CH40" s="13">
        <f t="shared" si="4"/>
        <v>0</v>
      </c>
      <c r="CI40" s="16">
        <f t="shared" si="5"/>
        <v>0</v>
      </c>
      <c r="CK40" s="8"/>
      <c r="CL40" s="13"/>
      <c r="CM40" s="13"/>
      <c r="CO40" s="14">
        <f t="shared" si="15"/>
        <v>0</v>
      </c>
      <c r="CP40" s="8">
        <f t="shared" si="14"/>
        <v>0</v>
      </c>
      <c r="CQ40" s="13">
        <f t="shared" si="9"/>
        <v>0</v>
      </c>
      <c r="CR40" s="17" t="str">
        <f t="shared" si="10"/>
        <v>nenhuma</v>
      </c>
      <c r="CS40" s="13">
        <f t="shared" si="11"/>
        <v>0</v>
      </c>
    </row>
    <row r="41" spans="1:97" x14ac:dyDescent="0.25">
      <c r="A41" s="7">
        <v>37</v>
      </c>
      <c r="B41" s="41"/>
      <c r="C41" s="41"/>
      <c r="D41" s="41"/>
      <c r="E41" s="41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P41" s="10">
        <f t="shared" si="0"/>
        <v>0</v>
      </c>
      <c r="BR41" s="11"/>
      <c r="BS41" s="12"/>
      <c r="BT41" s="19"/>
      <c r="BU41" s="12"/>
      <c r="BV41" s="13">
        <f t="shared" si="1"/>
        <v>0</v>
      </c>
      <c r="BX41" s="14"/>
      <c r="BY41" s="8"/>
      <c r="BZ41" s="13">
        <f t="shared" si="2"/>
        <v>0</v>
      </c>
      <c r="CB41" s="15"/>
      <c r="CD41" s="8"/>
      <c r="CE41" s="13">
        <f t="shared" si="3"/>
        <v>0</v>
      </c>
      <c r="CG41" s="9"/>
      <c r="CH41" s="13">
        <f t="shared" si="4"/>
        <v>0</v>
      </c>
      <c r="CI41" s="16">
        <f t="shared" si="5"/>
        <v>0</v>
      </c>
      <c r="CK41" s="8">
        <f>CD41</f>
        <v>0</v>
      </c>
      <c r="CL41" s="13">
        <f>IF(CK41="","",SUMIF($CB$5:$CB$220,"="&amp;CK41,$CH$5:$CH$220))</f>
        <v>0</v>
      </c>
      <c r="CM41" s="13">
        <f>IF(CE41&gt;=0,IF(CL41&gt;=0,CE41-CL41,0),0)</f>
        <v>0</v>
      </c>
      <c r="CO41" s="14">
        <f t="shared" si="15"/>
        <v>0</v>
      </c>
      <c r="CP41" s="8">
        <f t="shared" si="14"/>
        <v>0</v>
      </c>
      <c r="CQ41" s="13">
        <f t="shared" si="9"/>
        <v>0</v>
      </c>
      <c r="CR41" s="17" t="str">
        <f t="shared" si="10"/>
        <v>nenhuma</v>
      </c>
      <c r="CS41" s="13">
        <f t="shared" si="11"/>
        <v>0</v>
      </c>
    </row>
    <row r="42" spans="1:97" x14ac:dyDescent="0.25">
      <c r="A42" s="7">
        <v>38</v>
      </c>
      <c r="B42" s="41"/>
      <c r="C42" s="41"/>
      <c r="D42" s="41"/>
      <c r="E42" s="41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P42" s="10">
        <f t="shared" si="0"/>
        <v>0</v>
      </c>
      <c r="BR42" s="11"/>
      <c r="BS42" s="12"/>
      <c r="BT42" s="19"/>
      <c r="BU42" s="12"/>
      <c r="BV42" s="13">
        <f t="shared" si="1"/>
        <v>0</v>
      </c>
      <c r="BX42" s="14"/>
      <c r="BY42" s="8"/>
      <c r="BZ42" s="13">
        <f t="shared" si="2"/>
        <v>0</v>
      </c>
      <c r="CB42" s="15"/>
      <c r="CD42" s="8"/>
      <c r="CE42" s="13">
        <f t="shared" si="3"/>
        <v>0</v>
      </c>
      <c r="CG42" s="9"/>
      <c r="CH42" s="13">
        <f t="shared" si="4"/>
        <v>0</v>
      </c>
      <c r="CI42" s="16">
        <f t="shared" si="5"/>
        <v>0</v>
      </c>
      <c r="CK42" s="8">
        <f>CD42</f>
        <v>0</v>
      </c>
      <c r="CL42" s="13">
        <f>IF(CK42="","",SUMIF($CB$5:$CB$220,"="&amp;CK42,$CH$5:$CH$220))</f>
        <v>0</v>
      </c>
      <c r="CM42" s="13">
        <f>IF(CE42&gt;=0,IF(CL42&gt;=0,CE42-CL42,0),0)</f>
        <v>0</v>
      </c>
      <c r="CO42" s="14">
        <f t="shared" si="15"/>
        <v>0</v>
      </c>
      <c r="CP42" s="8">
        <f t="shared" si="14"/>
        <v>0</v>
      </c>
      <c r="CQ42" s="13">
        <f t="shared" si="9"/>
        <v>0</v>
      </c>
      <c r="CR42" s="17" t="str">
        <f t="shared" si="10"/>
        <v>nenhuma</v>
      </c>
      <c r="CS42" s="13">
        <f t="shared" si="11"/>
        <v>0</v>
      </c>
    </row>
    <row r="43" spans="1:97" x14ac:dyDescent="0.25">
      <c r="A43" s="7">
        <v>39</v>
      </c>
      <c r="B43" s="41"/>
      <c r="C43" s="41"/>
      <c r="D43" s="41"/>
      <c r="E43" s="41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P43" s="10">
        <f t="shared" si="0"/>
        <v>0</v>
      </c>
      <c r="BR43" s="11">
        <v>0</v>
      </c>
      <c r="BS43" s="12"/>
      <c r="BT43" s="19"/>
      <c r="BU43" s="12"/>
      <c r="BV43" s="13">
        <f t="shared" si="1"/>
        <v>0</v>
      </c>
      <c r="BX43" s="14"/>
      <c r="BY43" s="8"/>
      <c r="BZ43" s="13">
        <f t="shared" si="2"/>
        <v>0</v>
      </c>
      <c r="CB43" s="15"/>
      <c r="CD43" s="8"/>
      <c r="CE43" s="13">
        <f t="shared" si="3"/>
        <v>0</v>
      </c>
      <c r="CG43" s="9"/>
      <c r="CH43" s="13">
        <f t="shared" si="4"/>
        <v>0</v>
      </c>
      <c r="CI43" s="16">
        <f t="shared" si="5"/>
        <v>0</v>
      </c>
      <c r="CK43" s="8">
        <f>CD43</f>
        <v>0</v>
      </c>
      <c r="CL43" s="13">
        <f>IF(CK43="","",SUMIF($CB$5:$CB$220,"="&amp;CK43,$CH$5:$CH$220))</f>
        <v>0</v>
      </c>
      <c r="CM43" s="13">
        <f>IF(CE43&gt;=0,IF(CL43&gt;=0,CE43-CL43,0),0)</f>
        <v>0</v>
      </c>
      <c r="CO43" s="14">
        <f t="shared" si="15"/>
        <v>0</v>
      </c>
      <c r="CP43" s="8">
        <f t="shared" si="14"/>
        <v>0</v>
      </c>
      <c r="CQ43" s="13">
        <f t="shared" si="9"/>
        <v>0</v>
      </c>
      <c r="CR43" s="17" t="str">
        <f t="shared" si="10"/>
        <v>nenhuma</v>
      </c>
      <c r="CS43" s="13">
        <f t="shared" si="11"/>
        <v>0</v>
      </c>
    </row>
    <row r="44" spans="1:97" x14ac:dyDescent="0.25">
      <c r="A44" s="7">
        <v>40</v>
      </c>
      <c r="B44" s="41"/>
      <c r="C44" s="41"/>
      <c r="D44" s="41"/>
      <c r="E44" s="41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P44" s="10">
        <f t="shared" si="0"/>
        <v>0</v>
      </c>
      <c r="BR44" s="11">
        <v>0</v>
      </c>
      <c r="BS44" s="12"/>
      <c r="BT44" s="19"/>
      <c r="BU44" s="12"/>
      <c r="BV44" s="13">
        <f t="shared" si="1"/>
        <v>0</v>
      </c>
      <c r="BX44" s="14"/>
      <c r="BY44" s="8"/>
      <c r="BZ44" s="13">
        <f t="shared" si="2"/>
        <v>0</v>
      </c>
      <c r="CB44" s="15"/>
      <c r="CD44" s="8"/>
      <c r="CE44" s="13">
        <f t="shared" si="3"/>
        <v>0</v>
      </c>
      <c r="CG44" s="9"/>
      <c r="CH44" s="13">
        <f t="shared" si="4"/>
        <v>0</v>
      </c>
      <c r="CI44" s="16">
        <f t="shared" si="5"/>
        <v>0</v>
      </c>
      <c r="CK44" s="8"/>
      <c r="CL44" s="13"/>
      <c r="CM44" s="13"/>
      <c r="CO44" s="14">
        <f t="shared" si="15"/>
        <v>0</v>
      </c>
      <c r="CP44" s="8">
        <f t="shared" si="14"/>
        <v>0</v>
      </c>
      <c r="CQ44" s="13"/>
      <c r="CR44" s="17" t="str">
        <f t="shared" si="10"/>
        <v>nenhuma</v>
      </c>
      <c r="CS44" s="13"/>
    </row>
    <row r="45" spans="1:97" x14ac:dyDescent="0.25">
      <c r="A45" s="7">
        <v>41</v>
      </c>
      <c r="B45" s="41"/>
      <c r="C45" s="41"/>
      <c r="D45" s="41"/>
      <c r="E45" s="41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P45" s="10">
        <f t="shared" si="0"/>
        <v>0</v>
      </c>
      <c r="BR45" s="11">
        <v>0</v>
      </c>
      <c r="BS45" s="12"/>
      <c r="BT45" s="19"/>
      <c r="BU45" s="12"/>
      <c r="BV45" s="13">
        <f t="shared" si="1"/>
        <v>0</v>
      </c>
      <c r="BX45" s="14"/>
      <c r="BY45" s="8"/>
      <c r="BZ45" s="13">
        <f t="shared" si="2"/>
        <v>0</v>
      </c>
      <c r="CB45" s="15"/>
      <c r="CD45" s="8"/>
      <c r="CE45" s="13">
        <f t="shared" si="3"/>
        <v>0</v>
      </c>
      <c r="CG45" s="9"/>
      <c r="CH45" s="13">
        <f t="shared" si="4"/>
        <v>0</v>
      </c>
      <c r="CI45" s="16">
        <f t="shared" si="5"/>
        <v>0</v>
      </c>
      <c r="CK45" s="8"/>
      <c r="CL45" s="13"/>
      <c r="CM45" s="13"/>
      <c r="CO45" s="14">
        <f t="shared" si="15"/>
        <v>0</v>
      </c>
      <c r="CP45" s="8">
        <f t="shared" si="14"/>
        <v>0</v>
      </c>
      <c r="CQ45" s="13"/>
      <c r="CR45" s="17" t="str">
        <f t="shared" si="10"/>
        <v>nenhuma</v>
      </c>
      <c r="CS45" s="13"/>
    </row>
    <row r="46" spans="1:97" x14ac:dyDescent="0.25">
      <c r="A46" s="7">
        <v>42</v>
      </c>
      <c r="B46" s="41"/>
      <c r="C46" s="41"/>
      <c r="D46" s="41"/>
      <c r="E46" s="41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P46" s="10">
        <f t="shared" si="0"/>
        <v>0</v>
      </c>
      <c r="BR46" s="11">
        <v>0</v>
      </c>
      <c r="BS46" s="12"/>
      <c r="BT46" s="19"/>
      <c r="BU46" s="12"/>
      <c r="BV46" s="13">
        <f t="shared" si="1"/>
        <v>0</v>
      </c>
      <c r="BX46" s="14"/>
      <c r="BY46" s="8"/>
      <c r="BZ46" s="13">
        <f t="shared" si="2"/>
        <v>0</v>
      </c>
      <c r="CB46" s="15"/>
      <c r="CD46" s="8"/>
      <c r="CE46" s="13">
        <f t="shared" si="3"/>
        <v>0</v>
      </c>
      <c r="CG46" s="9"/>
      <c r="CH46" s="13">
        <f t="shared" si="4"/>
        <v>0</v>
      </c>
      <c r="CI46" s="16">
        <f t="shared" si="5"/>
        <v>0</v>
      </c>
      <c r="CK46" s="8"/>
      <c r="CL46" s="13"/>
      <c r="CM46" s="13"/>
      <c r="CO46" s="14">
        <f t="shared" si="15"/>
        <v>0</v>
      </c>
      <c r="CP46" s="8">
        <f t="shared" si="14"/>
        <v>0</v>
      </c>
      <c r="CQ46" s="13"/>
      <c r="CR46" s="17" t="str">
        <f t="shared" si="10"/>
        <v>nenhuma</v>
      </c>
      <c r="CS46" s="13"/>
    </row>
    <row r="47" spans="1:97" x14ac:dyDescent="0.25">
      <c r="A47" s="7">
        <v>43</v>
      </c>
      <c r="B47" s="41"/>
      <c r="C47" s="41"/>
      <c r="D47" s="41"/>
      <c r="E47" s="41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P47" s="10">
        <f t="shared" si="0"/>
        <v>0</v>
      </c>
      <c r="BR47" s="11">
        <v>0</v>
      </c>
      <c r="BS47" s="12"/>
      <c r="BT47" s="19"/>
      <c r="BU47" s="12"/>
      <c r="BV47" s="13">
        <f t="shared" si="1"/>
        <v>0</v>
      </c>
      <c r="BX47" s="14"/>
      <c r="BY47" s="8"/>
      <c r="BZ47" s="13">
        <f t="shared" si="2"/>
        <v>0</v>
      </c>
      <c r="CB47" s="15"/>
      <c r="CD47" s="8"/>
      <c r="CE47" s="13">
        <f t="shared" si="3"/>
        <v>0</v>
      </c>
      <c r="CG47" s="9"/>
      <c r="CH47" s="13">
        <f t="shared" si="4"/>
        <v>0</v>
      </c>
      <c r="CI47" s="16">
        <f t="shared" si="5"/>
        <v>0</v>
      </c>
      <c r="CK47" s="8">
        <f>CD47</f>
        <v>0</v>
      </c>
      <c r="CL47" s="13">
        <f>IF(CK47="","",SUMIF($CB$5:$CB$220,"="&amp;CK47,$CH$5:$CH$220))</f>
        <v>0</v>
      </c>
      <c r="CM47" s="13">
        <f>IF(CE47&gt;=0,IF(CL47&gt;=0,CE47-CL47,0),0)</f>
        <v>0</v>
      </c>
      <c r="CO47" s="14">
        <f t="shared" si="15"/>
        <v>0</v>
      </c>
      <c r="CP47" s="8">
        <f t="shared" si="14"/>
        <v>0</v>
      </c>
      <c r="CQ47" s="13">
        <f>IF(CO47="","",IF(CP47="",SUMIF($B$5:$B$220,"="&amp;CO47,$CH$5:$CH$220),SUMIFS($CH$5:$CH$220, $B$5:$B$220, "="&amp;CO47, $C$5:$C$220,"="&amp;CP47)))</f>
        <v>0</v>
      </c>
      <c r="CR47" s="17" t="str">
        <f t="shared" si="10"/>
        <v>nenhuma</v>
      </c>
      <c r="CS47" s="13">
        <f>IF(BZ47&gt;0,IF(CQ47&gt;=0,BZ47-CQ47,0),0)</f>
        <v>0</v>
      </c>
    </row>
    <row r="48" spans="1:97" x14ac:dyDescent="0.25">
      <c r="A48" s="7">
        <v>44</v>
      </c>
      <c r="B48" s="41"/>
      <c r="C48" s="41"/>
      <c r="D48" s="41"/>
      <c r="E48" s="41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P48" s="10">
        <f t="shared" si="0"/>
        <v>0</v>
      </c>
      <c r="BR48" s="11">
        <v>0</v>
      </c>
      <c r="BS48" s="12"/>
      <c r="BT48" s="19"/>
      <c r="BU48" s="12"/>
      <c r="BV48" s="13">
        <f t="shared" si="1"/>
        <v>0</v>
      </c>
      <c r="BX48" s="14"/>
      <c r="BY48" s="8"/>
      <c r="BZ48" s="13">
        <f t="shared" si="2"/>
        <v>0</v>
      </c>
      <c r="CB48" s="15"/>
      <c r="CD48" s="8"/>
      <c r="CE48" s="13">
        <f t="shared" si="3"/>
        <v>0</v>
      </c>
      <c r="CG48" s="9"/>
      <c r="CH48" s="13">
        <f t="shared" si="4"/>
        <v>0</v>
      </c>
      <c r="CI48" s="16">
        <f t="shared" si="5"/>
        <v>0</v>
      </c>
      <c r="CK48" s="8"/>
      <c r="CL48" s="13"/>
      <c r="CM48" s="13"/>
      <c r="CO48" s="14">
        <f t="shared" si="15"/>
        <v>0</v>
      </c>
      <c r="CP48" s="8">
        <f t="shared" si="14"/>
        <v>0</v>
      </c>
      <c r="CQ48" s="13"/>
      <c r="CR48" s="17" t="str">
        <f t="shared" si="10"/>
        <v>nenhuma</v>
      </c>
      <c r="CS48" s="13"/>
    </row>
    <row r="49" spans="1:97" x14ac:dyDescent="0.25">
      <c r="A49" s="7">
        <v>45</v>
      </c>
      <c r="B49" s="41"/>
      <c r="C49" s="41"/>
      <c r="D49" s="41"/>
      <c r="E49" s="41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P49" s="10">
        <f t="shared" si="0"/>
        <v>0</v>
      </c>
      <c r="BR49" s="11">
        <v>0</v>
      </c>
      <c r="BS49" s="12"/>
      <c r="BT49" s="19"/>
      <c r="BU49" s="12"/>
      <c r="BV49" s="13">
        <f t="shared" si="1"/>
        <v>0</v>
      </c>
      <c r="BX49" s="14"/>
      <c r="BY49" s="8"/>
      <c r="BZ49" s="13">
        <f t="shared" si="2"/>
        <v>0</v>
      </c>
      <c r="CB49" s="15"/>
      <c r="CD49" s="8"/>
      <c r="CE49" s="13">
        <f t="shared" si="3"/>
        <v>0</v>
      </c>
      <c r="CG49" s="9"/>
      <c r="CH49" s="13">
        <f t="shared" si="4"/>
        <v>0</v>
      </c>
      <c r="CI49" s="16">
        <f t="shared" si="5"/>
        <v>0</v>
      </c>
      <c r="CK49" s="8"/>
      <c r="CL49" s="13"/>
      <c r="CM49" s="13"/>
      <c r="CO49" s="14">
        <f t="shared" si="15"/>
        <v>0</v>
      </c>
      <c r="CP49" s="8">
        <f t="shared" si="14"/>
        <v>0</v>
      </c>
      <c r="CQ49" s="13"/>
      <c r="CR49" s="17" t="str">
        <f t="shared" si="10"/>
        <v>nenhuma</v>
      </c>
      <c r="CS49" s="13"/>
    </row>
    <row r="50" spans="1:97" x14ac:dyDescent="0.25">
      <c r="A50" s="7">
        <v>46</v>
      </c>
      <c r="B50" s="41"/>
      <c r="C50" s="41"/>
      <c r="D50" s="41"/>
      <c r="E50" s="41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P50" s="10">
        <f t="shared" si="0"/>
        <v>0</v>
      </c>
      <c r="BR50" s="11">
        <v>0</v>
      </c>
      <c r="BS50" s="12"/>
      <c r="BT50" s="19"/>
      <c r="BU50" s="12"/>
      <c r="BV50" s="13">
        <f t="shared" si="1"/>
        <v>0</v>
      </c>
      <c r="BX50" s="14"/>
      <c r="BY50" s="8"/>
      <c r="BZ50" s="13">
        <f t="shared" si="2"/>
        <v>0</v>
      </c>
      <c r="CB50" s="15"/>
      <c r="CD50" s="8"/>
      <c r="CE50" s="13">
        <f t="shared" si="3"/>
        <v>0</v>
      </c>
      <c r="CG50" s="9"/>
      <c r="CH50" s="13">
        <f t="shared" si="4"/>
        <v>0</v>
      </c>
      <c r="CI50" s="16">
        <f t="shared" si="5"/>
        <v>0</v>
      </c>
      <c r="CK50" s="8"/>
      <c r="CL50" s="13"/>
      <c r="CM50" s="13"/>
      <c r="CO50" s="14">
        <f t="shared" si="15"/>
        <v>0</v>
      </c>
      <c r="CP50" s="8">
        <f t="shared" si="14"/>
        <v>0</v>
      </c>
      <c r="CQ50" s="13"/>
      <c r="CR50" s="17" t="str">
        <f t="shared" si="10"/>
        <v>nenhuma</v>
      </c>
      <c r="CS50" s="13"/>
    </row>
    <row r="51" spans="1:97" x14ac:dyDescent="0.25">
      <c r="A51" s="7">
        <v>47</v>
      </c>
      <c r="B51" s="41"/>
      <c r="C51" s="41"/>
      <c r="D51" s="41"/>
      <c r="E51" s="41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P51" s="10">
        <f t="shared" si="0"/>
        <v>0</v>
      </c>
      <c r="BR51" s="11">
        <v>0</v>
      </c>
      <c r="BS51" s="12"/>
      <c r="BT51" s="19"/>
      <c r="BU51" s="12"/>
      <c r="BV51" s="13">
        <f t="shared" si="1"/>
        <v>0</v>
      </c>
      <c r="BX51" s="14"/>
      <c r="BY51" s="8"/>
      <c r="BZ51" s="13">
        <f t="shared" si="2"/>
        <v>0</v>
      </c>
      <c r="CB51" s="15"/>
      <c r="CD51" s="8"/>
      <c r="CE51" s="13">
        <f t="shared" si="3"/>
        <v>0</v>
      </c>
      <c r="CG51" s="9"/>
      <c r="CH51" s="13">
        <f t="shared" si="4"/>
        <v>0</v>
      </c>
      <c r="CI51" s="16">
        <f t="shared" si="5"/>
        <v>0</v>
      </c>
      <c r="CK51" s="8">
        <f>CD51</f>
        <v>0</v>
      </c>
      <c r="CL51" s="13">
        <f>IF(CK51="","",SUMIF($CB$5:$CB$220,"="&amp;CK51,$CH$5:$CH$220))</f>
        <v>0</v>
      </c>
      <c r="CM51" s="13">
        <f>IF(CE51&gt;=0,IF(CL51&gt;=0,CE51-CL51,0),0)</f>
        <v>0</v>
      </c>
      <c r="CO51" s="14">
        <f t="shared" si="15"/>
        <v>0</v>
      </c>
      <c r="CP51" s="8">
        <f t="shared" si="14"/>
        <v>0</v>
      </c>
      <c r="CQ51" s="13">
        <f>IF(CO51="","",IF(CP51="",SUMIF($B$5:$B$220,"="&amp;CO51,$CH$5:$CH$220),SUMIFS($CH$5:$CH$220, $B$5:$B$220, "="&amp;CO51, $C$5:$C$220,"="&amp;CP51)))</f>
        <v>0</v>
      </c>
      <c r="CR51" s="17" t="str">
        <f t="shared" si="10"/>
        <v>nenhuma</v>
      </c>
      <c r="CS51" s="13">
        <f>IF(BZ51&gt;0,IF(CQ51&gt;=0,BZ51-CQ51,0),0)</f>
        <v>0</v>
      </c>
    </row>
    <row r="52" spans="1:97" x14ac:dyDescent="0.25">
      <c r="A52" s="7">
        <v>48</v>
      </c>
      <c r="B52" s="41"/>
      <c r="C52" s="41"/>
      <c r="D52" s="41"/>
      <c r="E52" s="41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P52" s="10">
        <f t="shared" si="0"/>
        <v>0</v>
      </c>
      <c r="BR52" s="11">
        <v>0</v>
      </c>
      <c r="BS52" s="12"/>
      <c r="BT52" s="19"/>
      <c r="BU52" s="12"/>
      <c r="BV52" s="13">
        <f t="shared" si="1"/>
        <v>0</v>
      </c>
      <c r="BX52" s="14"/>
      <c r="BY52" s="8"/>
      <c r="BZ52" s="13">
        <f t="shared" si="2"/>
        <v>0</v>
      </c>
      <c r="CB52" s="15"/>
      <c r="CD52" s="8"/>
      <c r="CE52" s="13">
        <f t="shared" si="3"/>
        <v>0</v>
      </c>
      <c r="CG52" s="9"/>
      <c r="CH52" s="13">
        <f t="shared" si="4"/>
        <v>0</v>
      </c>
      <c r="CI52" s="16">
        <f t="shared" si="5"/>
        <v>0</v>
      </c>
      <c r="CK52" s="8">
        <f>CD52</f>
        <v>0</v>
      </c>
      <c r="CL52" s="13">
        <f>IF(CK52="","",SUMIF($CB$5:$CB$220,"="&amp;CK52,$CH$5:$CH$220))</f>
        <v>0</v>
      </c>
      <c r="CM52" s="13">
        <f>IF(CE52&gt;=0,IF(CL52&gt;=0,CE52-CL52,0),0)</f>
        <v>0</v>
      </c>
      <c r="CO52" s="14">
        <f t="shared" si="15"/>
        <v>0</v>
      </c>
      <c r="CP52" s="8">
        <f t="shared" si="14"/>
        <v>0</v>
      </c>
      <c r="CQ52" s="13">
        <f>IF(CO52="","",IF(CP52="",SUMIF($B$5:$B$220,"="&amp;CO52,$CH$5:$CH$220),SUMIFS($CH$5:$CH$220, $B$5:$B$220, "="&amp;CO52, $C$5:$C$220,"="&amp;CP52)))</f>
        <v>0</v>
      </c>
      <c r="CR52" s="17" t="str">
        <f t="shared" si="10"/>
        <v>nenhuma</v>
      </c>
      <c r="CS52" s="13">
        <f>IF(BZ52&gt;0,IF(CQ52&gt;=0,BZ52-CQ52,0),0)</f>
        <v>0</v>
      </c>
    </row>
    <row r="53" spans="1:97" x14ac:dyDescent="0.25">
      <c r="A53" s="7">
        <v>49</v>
      </c>
      <c r="B53" s="41"/>
      <c r="C53" s="41"/>
      <c r="D53" s="41"/>
      <c r="E53" s="41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P53" s="10">
        <f t="shared" si="0"/>
        <v>0</v>
      </c>
      <c r="BR53" s="11">
        <v>0</v>
      </c>
      <c r="BS53" s="12"/>
      <c r="BT53" s="19"/>
      <c r="BU53" s="12"/>
      <c r="BV53" s="13">
        <f t="shared" si="1"/>
        <v>0</v>
      </c>
      <c r="BX53" s="14"/>
      <c r="BY53" s="8"/>
      <c r="BZ53" s="13">
        <f t="shared" si="2"/>
        <v>0</v>
      </c>
      <c r="CB53" s="15"/>
      <c r="CD53" s="8"/>
      <c r="CE53" s="13">
        <f t="shared" si="3"/>
        <v>0</v>
      </c>
      <c r="CG53" s="9"/>
      <c r="CH53" s="13">
        <f t="shared" si="4"/>
        <v>0</v>
      </c>
      <c r="CI53" s="16">
        <f t="shared" si="5"/>
        <v>0</v>
      </c>
      <c r="CK53" s="8"/>
      <c r="CL53" s="13"/>
      <c r="CM53" s="13"/>
      <c r="CO53" s="14">
        <f t="shared" si="15"/>
        <v>0</v>
      </c>
      <c r="CP53" s="8">
        <f t="shared" si="14"/>
        <v>0</v>
      </c>
      <c r="CQ53" s="13"/>
      <c r="CR53" s="17" t="str">
        <f t="shared" si="10"/>
        <v>nenhuma</v>
      </c>
      <c r="CS53" s="13"/>
    </row>
    <row r="54" spans="1:97" x14ac:dyDescent="0.25">
      <c r="A54" s="7">
        <v>50</v>
      </c>
      <c r="B54" s="41"/>
      <c r="C54" s="41"/>
      <c r="D54" s="41"/>
      <c r="E54" s="41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P54" s="10">
        <f t="shared" si="0"/>
        <v>0</v>
      </c>
      <c r="BR54" s="11">
        <v>0</v>
      </c>
      <c r="BS54" s="12"/>
      <c r="BT54" s="19"/>
      <c r="BU54" s="12"/>
      <c r="BV54" s="13">
        <f t="shared" si="1"/>
        <v>0</v>
      </c>
      <c r="BX54" s="14"/>
      <c r="BY54" s="8"/>
      <c r="BZ54" s="13">
        <f t="shared" si="2"/>
        <v>0</v>
      </c>
      <c r="CB54" s="15"/>
      <c r="CD54" s="8"/>
      <c r="CE54" s="13">
        <f t="shared" si="3"/>
        <v>0</v>
      </c>
      <c r="CG54" s="9"/>
      <c r="CH54" s="13">
        <f t="shared" si="4"/>
        <v>0</v>
      </c>
      <c r="CI54" s="16">
        <f t="shared" si="5"/>
        <v>0</v>
      </c>
      <c r="CK54" s="8">
        <f>CD54</f>
        <v>0</v>
      </c>
      <c r="CL54" s="13">
        <f>IF(CK54="","",SUMIF($CB$5:$CB$220,"="&amp;CK54,$CH$5:$CH$220))</f>
        <v>0</v>
      </c>
      <c r="CM54" s="13">
        <f>IF(CE54&gt;=0,IF(CL54&gt;=0,CE54-CL54,0),0)</f>
        <v>0</v>
      </c>
      <c r="CO54" s="14">
        <f t="shared" si="15"/>
        <v>0</v>
      </c>
      <c r="CP54" s="8">
        <f t="shared" si="14"/>
        <v>0</v>
      </c>
      <c r="CQ54" s="13">
        <f>IF(CO54="","",IF(CP54="",SUMIF($B$5:$B$220,"="&amp;CO54,$CH$5:$CH$220),SUMIFS($CH$5:$CH$220, $B$5:$B$220, "="&amp;CO54, $C$5:$C$220,"="&amp;CP54)))</f>
        <v>0</v>
      </c>
      <c r="CR54" s="17" t="str">
        <f t="shared" si="10"/>
        <v>nenhuma</v>
      </c>
      <c r="CS54" s="13">
        <f>IF(BZ54&gt;0,IF(CQ54&gt;=0,BZ54-CQ54,0),0)</f>
        <v>0</v>
      </c>
    </row>
    <row r="55" spans="1:97" x14ac:dyDescent="0.25">
      <c r="A55" s="7">
        <v>51</v>
      </c>
      <c r="B55" s="41"/>
      <c r="C55" s="41"/>
      <c r="D55" s="41"/>
      <c r="E55" s="41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P55" s="10">
        <f t="shared" si="0"/>
        <v>0</v>
      </c>
      <c r="BR55" s="11">
        <v>0</v>
      </c>
      <c r="BS55" s="12"/>
      <c r="BT55" s="19"/>
      <c r="BU55" s="12"/>
      <c r="BV55" s="13">
        <f t="shared" si="1"/>
        <v>0</v>
      </c>
      <c r="BX55" s="14"/>
      <c r="BY55" s="8"/>
      <c r="BZ55" s="13">
        <f t="shared" si="2"/>
        <v>0</v>
      </c>
      <c r="CB55" s="15"/>
      <c r="CD55" s="8"/>
      <c r="CE55" s="13">
        <f t="shared" si="3"/>
        <v>0</v>
      </c>
      <c r="CG55" s="9"/>
      <c r="CH55" s="13">
        <f t="shared" si="4"/>
        <v>0</v>
      </c>
      <c r="CI55" s="16">
        <f t="shared" si="5"/>
        <v>0</v>
      </c>
      <c r="CK55" s="8">
        <f>CD55</f>
        <v>0</v>
      </c>
      <c r="CL55" s="13">
        <f>IF(CK55="","",SUMIF($CB$5:$CB$220,"="&amp;CK55,$CH$5:$CH$220))</f>
        <v>0</v>
      </c>
      <c r="CM55" s="13">
        <f>IF(CE55&gt;=0,IF(CL55&gt;=0,CE55-CL55,0),0)</f>
        <v>0</v>
      </c>
      <c r="CO55" s="14">
        <f t="shared" si="15"/>
        <v>0</v>
      </c>
      <c r="CP55" s="8">
        <f t="shared" si="14"/>
        <v>0</v>
      </c>
      <c r="CQ55" s="13">
        <f>IF(CO55="","",IF(CP55="",SUMIF($B$5:$B$220,"="&amp;CO55,$CH$5:$CH$220),SUMIFS($CH$5:$CH$220, $B$5:$B$220, "="&amp;CO55, $C$5:$C$220,"="&amp;CP55)))</f>
        <v>0</v>
      </c>
      <c r="CR55" s="17" t="str">
        <f t="shared" si="10"/>
        <v>nenhuma</v>
      </c>
      <c r="CS55" s="13">
        <f>IF(BZ55&gt;0,IF(CQ55&gt;=0,BZ55-CQ55,0),0)</f>
        <v>0</v>
      </c>
    </row>
    <row r="56" spans="1:97" x14ac:dyDescent="0.25">
      <c r="A56" s="7">
        <v>52</v>
      </c>
      <c r="B56" s="41"/>
      <c r="C56" s="41"/>
      <c r="D56" s="41"/>
      <c r="E56" s="41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P56" s="10">
        <f t="shared" si="0"/>
        <v>0</v>
      </c>
      <c r="BR56" s="11">
        <v>0</v>
      </c>
      <c r="BS56" s="12"/>
      <c r="BT56" s="19"/>
      <c r="BU56" s="12"/>
      <c r="BV56" s="13">
        <f t="shared" si="1"/>
        <v>0</v>
      </c>
      <c r="BX56" s="14"/>
      <c r="BY56" s="8"/>
      <c r="BZ56" s="13">
        <f t="shared" si="2"/>
        <v>0</v>
      </c>
      <c r="CB56" s="15"/>
      <c r="CD56" s="8"/>
      <c r="CE56" s="13">
        <f t="shared" si="3"/>
        <v>0</v>
      </c>
      <c r="CG56" s="9"/>
      <c r="CH56" s="13">
        <f t="shared" si="4"/>
        <v>0</v>
      </c>
      <c r="CI56" s="16">
        <f t="shared" si="5"/>
        <v>0</v>
      </c>
      <c r="CK56" s="8">
        <f>CD56</f>
        <v>0</v>
      </c>
      <c r="CL56" s="13">
        <f>IF(CK56="","",SUMIF($CB$5:$CB$220,"="&amp;CK56,$CH$5:$CH$220))</f>
        <v>0</v>
      </c>
      <c r="CM56" s="13">
        <f>IF(CE56&gt;=0,IF(CL56&gt;=0,CE56-CL56,0),0)</f>
        <v>0</v>
      </c>
      <c r="CO56" s="14">
        <f t="shared" si="15"/>
        <v>0</v>
      </c>
      <c r="CP56" s="8">
        <f t="shared" si="14"/>
        <v>0</v>
      </c>
      <c r="CQ56" s="13">
        <f>IF(CO56="","",IF(CP56="",SUMIF($B$5:$B$220,"="&amp;CO56,$CH$5:$CH$220),SUMIFS($CH$5:$CH$220, $B$5:$B$220, "="&amp;CO56, $C$5:$C$220,"="&amp;CP56)))</f>
        <v>0</v>
      </c>
      <c r="CR56" s="17" t="str">
        <f t="shared" si="10"/>
        <v>nenhuma</v>
      </c>
      <c r="CS56" s="13">
        <f>IF(BZ56&gt;0,IF(CQ56&gt;=0,BZ56-CQ56,0),0)</f>
        <v>0</v>
      </c>
    </row>
    <row r="57" spans="1:97" x14ac:dyDescent="0.25">
      <c r="A57" s="7">
        <v>53</v>
      </c>
      <c r="B57" s="41"/>
      <c r="C57" s="41"/>
      <c r="D57" s="41"/>
      <c r="E57" s="41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P57" s="10">
        <f t="shared" si="0"/>
        <v>0</v>
      </c>
      <c r="BR57" s="11">
        <v>0</v>
      </c>
      <c r="BS57" s="12"/>
      <c r="BT57" s="19"/>
      <c r="BU57" s="12"/>
      <c r="BV57" s="13">
        <f t="shared" si="1"/>
        <v>0</v>
      </c>
      <c r="BX57" s="14"/>
      <c r="BY57" s="8"/>
      <c r="BZ57" s="13">
        <f t="shared" si="2"/>
        <v>0</v>
      </c>
      <c r="CB57" s="15"/>
      <c r="CD57" s="8"/>
      <c r="CE57" s="13">
        <f t="shared" si="3"/>
        <v>0</v>
      </c>
      <c r="CG57" s="9"/>
      <c r="CH57" s="13">
        <f t="shared" si="4"/>
        <v>0</v>
      </c>
      <c r="CI57" s="16">
        <f t="shared" si="5"/>
        <v>0</v>
      </c>
      <c r="CK57" s="8"/>
      <c r="CL57" s="13"/>
      <c r="CM57" s="13"/>
      <c r="CO57" s="14">
        <f t="shared" si="15"/>
        <v>0</v>
      </c>
      <c r="CP57" s="8">
        <f t="shared" si="14"/>
        <v>0</v>
      </c>
      <c r="CQ57" s="13"/>
      <c r="CR57" s="17" t="str">
        <f t="shared" si="10"/>
        <v>nenhuma</v>
      </c>
      <c r="CS57" s="13"/>
    </row>
    <row r="58" spans="1:97" x14ac:dyDescent="0.25">
      <c r="A58" s="7">
        <v>54</v>
      </c>
      <c r="B58" s="41"/>
      <c r="C58" s="41"/>
      <c r="D58" s="41"/>
      <c r="E58" s="41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P58" s="10">
        <f t="shared" si="0"/>
        <v>0</v>
      </c>
      <c r="BR58" s="11">
        <v>0</v>
      </c>
      <c r="BS58" s="12"/>
      <c r="BT58" s="19"/>
      <c r="BU58" s="12"/>
      <c r="BV58" s="13">
        <f t="shared" si="1"/>
        <v>0</v>
      </c>
      <c r="BX58" s="14"/>
      <c r="BY58" s="8"/>
      <c r="BZ58" s="13">
        <f t="shared" si="2"/>
        <v>0</v>
      </c>
      <c r="CB58" s="15"/>
      <c r="CD58" s="8"/>
      <c r="CE58" s="13">
        <f t="shared" si="3"/>
        <v>0</v>
      </c>
      <c r="CG58" s="9"/>
      <c r="CH58" s="13">
        <f t="shared" si="4"/>
        <v>0</v>
      </c>
      <c r="CI58" s="16">
        <f t="shared" si="5"/>
        <v>0</v>
      </c>
      <c r="CK58" s="8"/>
      <c r="CL58" s="13"/>
      <c r="CM58" s="13"/>
      <c r="CO58" s="14">
        <f t="shared" si="15"/>
        <v>0</v>
      </c>
      <c r="CP58" s="8">
        <f t="shared" si="14"/>
        <v>0</v>
      </c>
      <c r="CQ58" s="13"/>
      <c r="CR58" s="17" t="str">
        <f t="shared" si="10"/>
        <v>nenhuma</v>
      </c>
      <c r="CS58" s="13"/>
    </row>
    <row r="59" spans="1:97" x14ac:dyDescent="0.25">
      <c r="A59" s="7">
        <v>55</v>
      </c>
      <c r="B59" s="41"/>
      <c r="C59" s="41"/>
      <c r="D59" s="41"/>
      <c r="E59" s="41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P59" s="10">
        <f t="shared" si="0"/>
        <v>0</v>
      </c>
      <c r="BR59" s="11">
        <v>0</v>
      </c>
      <c r="BS59" s="12"/>
      <c r="BT59" s="19"/>
      <c r="BU59" s="12"/>
      <c r="BV59" s="13">
        <f t="shared" si="1"/>
        <v>0</v>
      </c>
      <c r="BX59" s="14"/>
      <c r="BY59" s="8"/>
      <c r="BZ59" s="13">
        <f t="shared" si="2"/>
        <v>0</v>
      </c>
      <c r="CB59" s="15"/>
      <c r="CD59" s="8"/>
      <c r="CE59" s="13">
        <f t="shared" si="3"/>
        <v>0</v>
      </c>
      <c r="CG59" s="9"/>
      <c r="CH59" s="13">
        <f t="shared" si="4"/>
        <v>0</v>
      </c>
      <c r="CI59" s="16">
        <f t="shared" si="5"/>
        <v>0</v>
      </c>
      <c r="CK59" s="8">
        <f t="shared" ref="CK59:CK90" si="16">CD59</f>
        <v>0</v>
      </c>
      <c r="CL59" s="13">
        <f t="shared" ref="CL59:CL90" si="17">IF(CK59="","",SUMIF($CB$5:$CB$220,"="&amp;CK59,$CH$5:$CH$220))</f>
        <v>0</v>
      </c>
      <c r="CM59" s="13">
        <f t="shared" ref="CM59:CM90" si="18">IF(CE59&gt;=0,IF(CL59&gt;=0,CE59-CL59,0),0)</f>
        <v>0</v>
      </c>
      <c r="CO59" s="14">
        <f t="shared" si="15"/>
        <v>0</v>
      </c>
      <c r="CP59" s="8">
        <f t="shared" si="14"/>
        <v>0</v>
      </c>
      <c r="CQ59" s="13">
        <f t="shared" ref="CQ59:CQ90" si="19">IF(CO59="","",IF(CP59="",SUMIF($B$5:$B$220,"="&amp;CO59,$CH$5:$CH$220),SUMIFS($CH$5:$CH$220, $B$5:$B$220, "="&amp;CO59, $C$5:$C$220,"="&amp;CP59)))</f>
        <v>0</v>
      </c>
      <c r="CR59" s="17" t="str">
        <f t="shared" si="10"/>
        <v>nenhuma</v>
      </c>
      <c r="CS59" s="13">
        <f t="shared" ref="CS59:CS90" si="20">IF(BZ59&gt;0,IF(CQ59&gt;=0,BZ59-CQ59,0),0)</f>
        <v>0</v>
      </c>
    </row>
    <row r="60" spans="1:97" x14ac:dyDescent="0.25">
      <c r="A60" s="7">
        <v>56</v>
      </c>
      <c r="B60" s="41"/>
      <c r="C60" s="41"/>
      <c r="D60" s="41"/>
      <c r="E60" s="41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P60" s="10">
        <f t="shared" si="0"/>
        <v>0</v>
      </c>
      <c r="BR60" s="11">
        <v>0</v>
      </c>
      <c r="BS60" s="12"/>
      <c r="BT60" s="19"/>
      <c r="BU60" s="12"/>
      <c r="BV60" s="13">
        <f t="shared" si="1"/>
        <v>0</v>
      </c>
      <c r="BX60" s="14"/>
      <c r="BY60" s="8"/>
      <c r="BZ60" s="13">
        <f t="shared" si="2"/>
        <v>0</v>
      </c>
      <c r="CB60" s="15"/>
      <c r="CD60" s="8"/>
      <c r="CE60" s="13">
        <f t="shared" si="3"/>
        <v>0</v>
      </c>
      <c r="CG60" s="9"/>
      <c r="CH60" s="13">
        <f t="shared" si="4"/>
        <v>0</v>
      </c>
      <c r="CI60" s="16">
        <f t="shared" si="5"/>
        <v>0</v>
      </c>
      <c r="CK60" s="8">
        <f t="shared" si="16"/>
        <v>0</v>
      </c>
      <c r="CL60" s="13">
        <f t="shared" si="17"/>
        <v>0</v>
      </c>
      <c r="CM60" s="13">
        <f t="shared" si="18"/>
        <v>0</v>
      </c>
      <c r="CO60" s="14">
        <f t="shared" si="15"/>
        <v>0</v>
      </c>
      <c r="CP60" s="8">
        <f t="shared" si="14"/>
        <v>0</v>
      </c>
      <c r="CQ60" s="13">
        <f t="shared" si="19"/>
        <v>0</v>
      </c>
      <c r="CR60" s="17" t="str">
        <f t="shared" si="10"/>
        <v>nenhuma</v>
      </c>
      <c r="CS60" s="13">
        <f t="shared" si="20"/>
        <v>0</v>
      </c>
    </row>
    <row r="61" spans="1:97" x14ac:dyDescent="0.25">
      <c r="A61" s="7">
        <v>57</v>
      </c>
      <c r="B61" s="41"/>
      <c r="C61" s="41"/>
      <c r="D61" s="41"/>
      <c r="E61" s="41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P61" s="10">
        <f t="shared" si="0"/>
        <v>0</v>
      </c>
      <c r="BR61" s="11">
        <v>0</v>
      </c>
      <c r="BS61" s="12"/>
      <c r="BT61" s="19"/>
      <c r="BU61" s="12"/>
      <c r="BV61" s="13">
        <f t="shared" si="1"/>
        <v>0</v>
      </c>
      <c r="BX61" s="14"/>
      <c r="BY61" s="8"/>
      <c r="BZ61" s="13">
        <f t="shared" si="2"/>
        <v>0</v>
      </c>
      <c r="CB61" s="15"/>
      <c r="CD61" s="8"/>
      <c r="CE61" s="13">
        <f t="shared" si="3"/>
        <v>0</v>
      </c>
      <c r="CG61" s="9"/>
      <c r="CH61" s="13">
        <f t="shared" si="4"/>
        <v>0</v>
      </c>
      <c r="CI61" s="16">
        <f t="shared" si="5"/>
        <v>0</v>
      </c>
      <c r="CK61" s="8">
        <f t="shared" si="16"/>
        <v>0</v>
      </c>
      <c r="CL61" s="13">
        <f t="shared" si="17"/>
        <v>0</v>
      </c>
      <c r="CM61" s="13">
        <f t="shared" si="18"/>
        <v>0</v>
      </c>
      <c r="CO61" s="14">
        <f t="shared" si="15"/>
        <v>0</v>
      </c>
      <c r="CP61" s="8">
        <f t="shared" si="14"/>
        <v>0</v>
      </c>
      <c r="CQ61" s="13">
        <f t="shared" si="19"/>
        <v>0</v>
      </c>
      <c r="CR61" s="17" t="str">
        <f t="shared" si="10"/>
        <v>nenhuma</v>
      </c>
      <c r="CS61" s="13">
        <f t="shared" si="20"/>
        <v>0</v>
      </c>
    </row>
    <row r="62" spans="1:97" x14ac:dyDescent="0.25">
      <c r="A62" s="7">
        <v>58</v>
      </c>
      <c r="B62" s="41"/>
      <c r="C62" s="41"/>
      <c r="D62" s="41"/>
      <c r="E62" s="41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P62" s="10">
        <f t="shared" si="0"/>
        <v>0</v>
      </c>
      <c r="BR62" s="11">
        <v>0</v>
      </c>
      <c r="BS62" s="12"/>
      <c r="BT62" s="19"/>
      <c r="BU62" s="12"/>
      <c r="BV62" s="13">
        <f t="shared" si="1"/>
        <v>0</v>
      </c>
      <c r="BX62" s="14"/>
      <c r="BY62" s="8"/>
      <c r="BZ62" s="13">
        <f t="shared" si="2"/>
        <v>0</v>
      </c>
      <c r="CB62" s="15"/>
      <c r="CD62" s="8"/>
      <c r="CE62" s="13">
        <f t="shared" si="3"/>
        <v>0</v>
      </c>
      <c r="CG62" s="9"/>
      <c r="CH62" s="13">
        <f t="shared" si="4"/>
        <v>0</v>
      </c>
      <c r="CI62" s="16">
        <f t="shared" si="5"/>
        <v>0</v>
      </c>
      <c r="CK62" s="8">
        <f t="shared" si="16"/>
        <v>0</v>
      </c>
      <c r="CL62" s="13">
        <f t="shared" si="17"/>
        <v>0</v>
      </c>
      <c r="CM62" s="13">
        <f t="shared" si="18"/>
        <v>0</v>
      </c>
      <c r="CO62" s="14">
        <f t="shared" si="15"/>
        <v>0</v>
      </c>
      <c r="CP62" s="8">
        <f t="shared" si="14"/>
        <v>0</v>
      </c>
      <c r="CQ62" s="13">
        <f t="shared" si="19"/>
        <v>0</v>
      </c>
      <c r="CR62" s="17" t="str">
        <f t="shared" si="10"/>
        <v>nenhuma</v>
      </c>
      <c r="CS62" s="13">
        <f t="shared" si="20"/>
        <v>0</v>
      </c>
    </row>
    <row r="63" spans="1:97" x14ac:dyDescent="0.25">
      <c r="A63" s="7">
        <v>59</v>
      </c>
      <c r="B63" s="41"/>
      <c r="C63" s="41"/>
      <c r="D63" s="41"/>
      <c r="E63" s="41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P63" s="10">
        <f t="shared" si="0"/>
        <v>0</v>
      </c>
      <c r="BR63" s="11">
        <v>0</v>
      </c>
      <c r="BS63" s="12"/>
      <c r="BT63" s="15"/>
      <c r="BU63" s="12"/>
      <c r="BV63" s="13">
        <f t="shared" si="1"/>
        <v>0</v>
      </c>
      <c r="BX63" s="14"/>
      <c r="BY63" s="8"/>
      <c r="BZ63" s="13">
        <f t="shared" si="2"/>
        <v>0</v>
      </c>
      <c r="CB63" s="15"/>
      <c r="CD63" s="8"/>
      <c r="CE63" s="13">
        <f t="shared" si="3"/>
        <v>0</v>
      </c>
      <c r="CG63" s="9"/>
      <c r="CH63" s="13">
        <f t="shared" si="4"/>
        <v>0</v>
      </c>
      <c r="CI63" s="16">
        <f t="shared" si="5"/>
        <v>0</v>
      </c>
      <c r="CK63" s="8">
        <f t="shared" si="16"/>
        <v>0</v>
      </c>
      <c r="CL63" s="13">
        <f t="shared" si="17"/>
        <v>0</v>
      </c>
      <c r="CM63" s="13">
        <f t="shared" si="18"/>
        <v>0</v>
      </c>
      <c r="CO63" s="14">
        <f t="shared" si="15"/>
        <v>0</v>
      </c>
      <c r="CP63" s="8">
        <f t="shared" si="14"/>
        <v>0</v>
      </c>
      <c r="CQ63" s="13">
        <f t="shared" si="19"/>
        <v>0</v>
      </c>
      <c r="CR63" s="17" t="str">
        <f t="shared" si="10"/>
        <v>nenhuma</v>
      </c>
      <c r="CS63" s="13">
        <f t="shared" si="20"/>
        <v>0</v>
      </c>
    </row>
    <row r="64" spans="1:97" x14ac:dyDescent="0.25">
      <c r="A64" s="7">
        <v>60</v>
      </c>
      <c r="B64" s="41"/>
      <c r="C64" s="41"/>
      <c r="D64" s="41"/>
      <c r="E64" s="41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P64" s="10">
        <f t="shared" si="0"/>
        <v>0</v>
      </c>
      <c r="BR64" s="11">
        <v>0</v>
      </c>
      <c r="BS64" s="12"/>
      <c r="BT64" s="15"/>
      <c r="BU64" s="12"/>
      <c r="BV64" s="13">
        <f t="shared" si="1"/>
        <v>0</v>
      </c>
      <c r="BX64" s="14"/>
      <c r="BY64" s="8"/>
      <c r="BZ64" s="13">
        <f t="shared" si="2"/>
        <v>0</v>
      </c>
      <c r="CB64" s="15"/>
      <c r="CD64" s="8"/>
      <c r="CE64" s="13">
        <f t="shared" si="3"/>
        <v>0</v>
      </c>
      <c r="CG64" s="9"/>
      <c r="CH64" s="13">
        <f t="shared" si="4"/>
        <v>0</v>
      </c>
      <c r="CI64" s="16">
        <f t="shared" si="5"/>
        <v>0</v>
      </c>
      <c r="CK64" s="8">
        <f t="shared" si="16"/>
        <v>0</v>
      </c>
      <c r="CL64" s="13">
        <f t="shared" si="17"/>
        <v>0</v>
      </c>
      <c r="CM64" s="13">
        <f t="shared" si="18"/>
        <v>0</v>
      </c>
      <c r="CO64" s="14">
        <f t="shared" si="15"/>
        <v>0</v>
      </c>
      <c r="CP64" s="8">
        <f t="shared" si="14"/>
        <v>0</v>
      </c>
      <c r="CQ64" s="13">
        <f t="shared" si="19"/>
        <v>0</v>
      </c>
      <c r="CR64" s="17" t="str">
        <f t="shared" si="10"/>
        <v>nenhuma</v>
      </c>
      <c r="CS64" s="13">
        <f t="shared" si="20"/>
        <v>0</v>
      </c>
    </row>
    <row r="65" spans="1:97" x14ac:dyDescent="0.25">
      <c r="A65" s="7">
        <v>61</v>
      </c>
      <c r="B65" s="41"/>
      <c r="C65" s="41"/>
      <c r="D65" s="41"/>
      <c r="E65" s="41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P65" s="10">
        <f t="shared" si="0"/>
        <v>0</v>
      </c>
      <c r="BR65" s="11">
        <v>0</v>
      </c>
      <c r="BS65" s="12"/>
      <c r="BT65" s="15"/>
      <c r="BU65" s="12"/>
      <c r="BV65" s="13">
        <f t="shared" si="1"/>
        <v>0</v>
      </c>
      <c r="BX65" s="14"/>
      <c r="BY65" s="8"/>
      <c r="BZ65" s="13">
        <f t="shared" si="2"/>
        <v>0</v>
      </c>
      <c r="CB65" s="15"/>
      <c r="CD65" s="8"/>
      <c r="CE65" s="13">
        <f t="shared" si="3"/>
        <v>0</v>
      </c>
      <c r="CG65" s="9"/>
      <c r="CH65" s="13">
        <f t="shared" si="4"/>
        <v>0</v>
      </c>
      <c r="CI65" s="16">
        <f t="shared" si="5"/>
        <v>0</v>
      </c>
      <c r="CK65" s="8">
        <f t="shared" si="16"/>
        <v>0</v>
      </c>
      <c r="CL65" s="13">
        <f t="shared" si="17"/>
        <v>0</v>
      </c>
      <c r="CM65" s="13">
        <f t="shared" si="18"/>
        <v>0</v>
      </c>
      <c r="CO65" s="14">
        <f t="shared" si="15"/>
        <v>0</v>
      </c>
      <c r="CP65" s="8">
        <f t="shared" si="14"/>
        <v>0</v>
      </c>
      <c r="CQ65" s="13">
        <f t="shared" si="19"/>
        <v>0</v>
      </c>
      <c r="CR65" s="17" t="str">
        <f t="shared" si="10"/>
        <v>nenhuma</v>
      </c>
      <c r="CS65" s="13">
        <f t="shared" si="20"/>
        <v>0</v>
      </c>
    </row>
    <row r="66" spans="1:97" x14ac:dyDescent="0.25">
      <c r="A66" s="7">
        <v>62</v>
      </c>
      <c r="B66" s="41"/>
      <c r="C66" s="41"/>
      <c r="D66" s="41"/>
      <c r="E66" s="41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P66" s="10">
        <f t="shared" si="0"/>
        <v>0</v>
      </c>
      <c r="BR66" s="11">
        <v>0</v>
      </c>
      <c r="BS66" s="12"/>
      <c r="BT66" s="15"/>
      <c r="BU66" s="12"/>
      <c r="BV66" s="13">
        <f t="shared" si="1"/>
        <v>0</v>
      </c>
      <c r="BX66" s="14"/>
      <c r="BY66" s="8"/>
      <c r="BZ66" s="13">
        <f t="shared" si="2"/>
        <v>0</v>
      </c>
      <c r="CB66" s="15"/>
      <c r="CD66" s="8"/>
      <c r="CE66" s="13">
        <f t="shared" si="3"/>
        <v>0</v>
      </c>
      <c r="CG66" s="9"/>
      <c r="CH66" s="13">
        <f t="shared" si="4"/>
        <v>0</v>
      </c>
      <c r="CI66" s="16">
        <f t="shared" si="5"/>
        <v>0</v>
      </c>
      <c r="CK66" s="8">
        <f t="shared" si="16"/>
        <v>0</v>
      </c>
      <c r="CL66" s="13">
        <f t="shared" si="17"/>
        <v>0</v>
      </c>
      <c r="CM66" s="13">
        <f t="shared" si="18"/>
        <v>0</v>
      </c>
      <c r="CO66" s="14">
        <f t="shared" si="15"/>
        <v>0</v>
      </c>
      <c r="CP66" s="8">
        <f t="shared" si="14"/>
        <v>0</v>
      </c>
      <c r="CQ66" s="13">
        <f t="shared" si="19"/>
        <v>0</v>
      </c>
      <c r="CR66" s="17" t="str">
        <f t="shared" si="10"/>
        <v>nenhuma</v>
      </c>
      <c r="CS66" s="13">
        <f t="shared" si="20"/>
        <v>0</v>
      </c>
    </row>
    <row r="67" spans="1:97" x14ac:dyDescent="0.25">
      <c r="A67" s="7">
        <v>63</v>
      </c>
      <c r="B67" s="41"/>
      <c r="C67" s="41"/>
      <c r="D67" s="41"/>
      <c r="E67" s="41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P67" s="10">
        <f t="shared" si="0"/>
        <v>0</v>
      </c>
      <c r="BR67" s="11">
        <v>0</v>
      </c>
      <c r="BS67" s="12"/>
      <c r="BT67" s="15"/>
      <c r="BU67" s="12"/>
      <c r="BV67" s="13">
        <f t="shared" si="1"/>
        <v>0</v>
      </c>
      <c r="BX67" s="14"/>
      <c r="BY67" s="8"/>
      <c r="BZ67" s="13">
        <f t="shared" si="2"/>
        <v>0</v>
      </c>
      <c r="CB67" s="15"/>
      <c r="CD67" s="8"/>
      <c r="CE67" s="13">
        <f t="shared" si="3"/>
        <v>0</v>
      </c>
      <c r="CG67" s="9"/>
      <c r="CH67" s="13">
        <f t="shared" si="4"/>
        <v>0</v>
      </c>
      <c r="CI67" s="16">
        <f t="shared" si="5"/>
        <v>0</v>
      </c>
      <c r="CK67" s="8">
        <f t="shared" si="16"/>
        <v>0</v>
      </c>
      <c r="CL67" s="13">
        <f t="shared" si="17"/>
        <v>0</v>
      </c>
      <c r="CM67" s="13">
        <f t="shared" si="18"/>
        <v>0</v>
      </c>
      <c r="CO67" s="14">
        <f t="shared" si="15"/>
        <v>0</v>
      </c>
      <c r="CP67" s="8">
        <f t="shared" si="14"/>
        <v>0</v>
      </c>
      <c r="CQ67" s="13">
        <f t="shared" si="19"/>
        <v>0</v>
      </c>
      <c r="CR67" s="17" t="str">
        <f t="shared" si="10"/>
        <v>nenhuma</v>
      </c>
      <c r="CS67" s="13">
        <f t="shared" si="20"/>
        <v>0</v>
      </c>
    </row>
    <row r="68" spans="1:97" x14ac:dyDescent="0.25">
      <c r="A68" s="7">
        <v>64</v>
      </c>
      <c r="B68" s="41"/>
      <c r="C68" s="41"/>
      <c r="D68" s="41"/>
      <c r="E68" s="41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P68" s="10">
        <f t="shared" si="0"/>
        <v>0</v>
      </c>
      <c r="BR68" s="11">
        <v>0</v>
      </c>
      <c r="BS68" s="12"/>
      <c r="BT68" s="15"/>
      <c r="BU68" s="12"/>
      <c r="BV68" s="13">
        <f t="shared" si="1"/>
        <v>0</v>
      </c>
      <c r="BX68" s="14"/>
      <c r="BY68" s="8"/>
      <c r="BZ68" s="13">
        <f t="shared" si="2"/>
        <v>0</v>
      </c>
      <c r="CB68" s="15"/>
      <c r="CD68" s="8"/>
      <c r="CE68" s="13">
        <f t="shared" si="3"/>
        <v>0</v>
      </c>
      <c r="CG68" s="9"/>
      <c r="CH68" s="13">
        <f t="shared" si="4"/>
        <v>0</v>
      </c>
      <c r="CI68" s="16">
        <f t="shared" si="5"/>
        <v>0</v>
      </c>
      <c r="CK68" s="8">
        <f t="shared" si="16"/>
        <v>0</v>
      </c>
      <c r="CL68" s="13">
        <f t="shared" si="17"/>
        <v>0</v>
      </c>
      <c r="CM68" s="13">
        <f t="shared" si="18"/>
        <v>0</v>
      </c>
      <c r="CO68" s="14">
        <f t="shared" si="15"/>
        <v>0</v>
      </c>
      <c r="CP68" s="8">
        <f t="shared" si="14"/>
        <v>0</v>
      </c>
      <c r="CQ68" s="13">
        <f t="shared" si="19"/>
        <v>0</v>
      </c>
      <c r="CR68" s="17" t="str">
        <f t="shared" si="10"/>
        <v>nenhuma</v>
      </c>
      <c r="CS68" s="13">
        <f t="shared" si="20"/>
        <v>0</v>
      </c>
    </row>
    <row r="69" spans="1:97" x14ac:dyDescent="0.25">
      <c r="A69" s="7">
        <v>65</v>
      </c>
      <c r="B69" s="41"/>
      <c r="C69" s="41"/>
      <c r="D69" s="41"/>
      <c r="E69" s="41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P69" s="10">
        <f t="shared" ref="BP69:BP132" si="21">IF(SUM(F69:BN69)&gt;0,ROUND(AVERAGE(F69:BN69),4),0)</f>
        <v>0</v>
      </c>
      <c r="BR69" s="11">
        <v>0</v>
      </c>
      <c r="BS69" s="12"/>
      <c r="BT69" s="15"/>
      <c r="BU69" s="12"/>
      <c r="BV69" s="13">
        <f t="shared" ref="BV69:BV132" si="22">IF(BR69&gt;0,BR69,BP69)*BT69</f>
        <v>0</v>
      </c>
      <c r="BX69" s="14"/>
      <c r="BY69" s="8"/>
      <c r="BZ69" s="13">
        <f t="shared" ref="BZ69:BZ132" si="23">IF(BX69="",0,IF(BY69="",SUMIF($B$5:$B$220,"="&amp;BX69,$BV$5:$BV$220),SUMIFS($BV$5:$BV$220, $B$5:$B$220, "="&amp;BX69, $C$5:$C$220,"="&amp;BY69)))</f>
        <v>0</v>
      </c>
      <c r="CB69" s="15"/>
      <c r="CD69" s="8"/>
      <c r="CE69" s="13">
        <f t="shared" ref="CE69:CE132" si="24">IF(CD69="",0,SUMIF($CB$5:$CB$220,"="&amp;CD69,$BV$5:$BV$220))</f>
        <v>0</v>
      </c>
      <c r="CG69" s="9"/>
      <c r="CH69" s="13">
        <f t="shared" ref="CH69:CH132" si="25">CG69*BT69</f>
        <v>0</v>
      </c>
      <c r="CI69" s="16">
        <f t="shared" ref="CI69:CI132" si="26">IF(BV69&gt;0,IF(CH69&gt;=0,CH69-BV69,0),0)</f>
        <v>0</v>
      </c>
      <c r="CK69" s="8">
        <f t="shared" si="16"/>
        <v>0</v>
      </c>
      <c r="CL69" s="13">
        <f t="shared" si="17"/>
        <v>0</v>
      </c>
      <c r="CM69" s="13">
        <f t="shared" si="18"/>
        <v>0</v>
      </c>
      <c r="CO69" s="14">
        <f t="shared" si="15"/>
        <v>0</v>
      </c>
      <c r="CP69" s="8">
        <f t="shared" ref="CP69:CP132" si="27">BY69</f>
        <v>0</v>
      </c>
      <c r="CQ69" s="13">
        <f t="shared" si="19"/>
        <v>0</v>
      </c>
      <c r="CR69" s="17" t="str">
        <f t="shared" ref="CR69:CR132" si="28">IF(CS69&gt;0,"anular",IF(CS69&lt;0,"reforçar","nenhuma"))</f>
        <v>nenhuma</v>
      </c>
      <c r="CS69" s="13">
        <f t="shared" si="20"/>
        <v>0</v>
      </c>
    </row>
    <row r="70" spans="1:97" x14ac:dyDescent="0.25">
      <c r="A70" s="7">
        <v>66</v>
      </c>
      <c r="B70" s="41"/>
      <c r="C70" s="41"/>
      <c r="D70" s="41"/>
      <c r="E70" s="41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P70" s="10">
        <f t="shared" si="21"/>
        <v>0</v>
      </c>
      <c r="BR70" s="11">
        <v>0</v>
      </c>
      <c r="BS70" s="12"/>
      <c r="BT70" s="15"/>
      <c r="BU70" s="12"/>
      <c r="BV70" s="13">
        <f t="shared" si="22"/>
        <v>0</v>
      </c>
      <c r="BX70" s="14"/>
      <c r="BY70" s="8"/>
      <c r="BZ70" s="13">
        <f t="shared" si="23"/>
        <v>0</v>
      </c>
      <c r="CB70" s="15"/>
      <c r="CD70" s="8"/>
      <c r="CE70" s="13">
        <f t="shared" si="24"/>
        <v>0</v>
      </c>
      <c r="CG70" s="9"/>
      <c r="CH70" s="13">
        <f t="shared" si="25"/>
        <v>0</v>
      </c>
      <c r="CI70" s="16">
        <f t="shared" si="26"/>
        <v>0</v>
      </c>
      <c r="CK70" s="8">
        <f t="shared" si="16"/>
        <v>0</v>
      </c>
      <c r="CL70" s="13">
        <f t="shared" si="17"/>
        <v>0</v>
      </c>
      <c r="CM70" s="13">
        <f t="shared" si="18"/>
        <v>0</v>
      </c>
      <c r="CO70" s="14">
        <f t="shared" si="15"/>
        <v>0</v>
      </c>
      <c r="CP70" s="8">
        <f t="shared" si="27"/>
        <v>0</v>
      </c>
      <c r="CQ70" s="13">
        <f t="shared" si="19"/>
        <v>0</v>
      </c>
      <c r="CR70" s="17" t="str">
        <f t="shared" si="28"/>
        <v>nenhuma</v>
      </c>
      <c r="CS70" s="13">
        <f t="shared" si="20"/>
        <v>0</v>
      </c>
    </row>
    <row r="71" spans="1:97" x14ac:dyDescent="0.25">
      <c r="A71" s="7">
        <v>67</v>
      </c>
      <c r="B71" s="41"/>
      <c r="C71" s="41"/>
      <c r="D71" s="41"/>
      <c r="E71" s="41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P71" s="10">
        <f t="shared" si="21"/>
        <v>0</v>
      </c>
      <c r="BR71" s="11">
        <v>0</v>
      </c>
      <c r="BS71" s="12"/>
      <c r="BT71" s="15"/>
      <c r="BU71" s="12"/>
      <c r="BV71" s="13">
        <f t="shared" si="22"/>
        <v>0</v>
      </c>
      <c r="BX71" s="14"/>
      <c r="BY71" s="8"/>
      <c r="BZ71" s="13">
        <f t="shared" si="23"/>
        <v>0</v>
      </c>
      <c r="CB71" s="15"/>
      <c r="CD71" s="8"/>
      <c r="CE71" s="13">
        <f t="shared" si="24"/>
        <v>0</v>
      </c>
      <c r="CG71" s="9"/>
      <c r="CH71" s="13">
        <f t="shared" si="25"/>
        <v>0</v>
      </c>
      <c r="CI71" s="16">
        <f t="shared" si="26"/>
        <v>0</v>
      </c>
      <c r="CK71" s="8">
        <f t="shared" si="16"/>
        <v>0</v>
      </c>
      <c r="CL71" s="13">
        <f t="shared" si="17"/>
        <v>0</v>
      </c>
      <c r="CM71" s="13">
        <f t="shared" si="18"/>
        <v>0</v>
      </c>
      <c r="CO71" s="14">
        <f t="shared" ref="CO71:CO134" si="29">BX71</f>
        <v>0</v>
      </c>
      <c r="CP71" s="8">
        <f t="shared" si="27"/>
        <v>0</v>
      </c>
      <c r="CQ71" s="13">
        <f t="shared" si="19"/>
        <v>0</v>
      </c>
      <c r="CR71" s="17" t="str">
        <f t="shared" si="28"/>
        <v>nenhuma</v>
      </c>
      <c r="CS71" s="13">
        <f t="shared" si="20"/>
        <v>0</v>
      </c>
    </row>
    <row r="72" spans="1:97" x14ac:dyDescent="0.25">
      <c r="A72" s="7">
        <v>68</v>
      </c>
      <c r="B72" s="41"/>
      <c r="C72" s="41"/>
      <c r="D72" s="41"/>
      <c r="E72" s="41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P72" s="10">
        <f t="shared" si="21"/>
        <v>0</v>
      </c>
      <c r="BR72" s="11">
        <v>0</v>
      </c>
      <c r="BS72" s="12"/>
      <c r="BT72" s="15"/>
      <c r="BU72" s="12"/>
      <c r="BV72" s="13">
        <f t="shared" si="22"/>
        <v>0</v>
      </c>
      <c r="BX72" s="14"/>
      <c r="BY72" s="8"/>
      <c r="BZ72" s="13">
        <f t="shared" si="23"/>
        <v>0</v>
      </c>
      <c r="CB72" s="15"/>
      <c r="CD72" s="8"/>
      <c r="CE72" s="13">
        <f t="shared" si="24"/>
        <v>0</v>
      </c>
      <c r="CG72" s="9"/>
      <c r="CH72" s="13">
        <f t="shared" si="25"/>
        <v>0</v>
      </c>
      <c r="CI72" s="16">
        <f t="shared" si="26"/>
        <v>0</v>
      </c>
      <c r="CK72" s="8">
        <f t="shared" si="16"/>
        <v>0</v>
      </c>
      <c r="CL72" s="13">
        <f t="shared" si="17"/>
        <v>0</v>
      </c>
      <c r="CM72" s="13">
        <f t="shared" si="18"/>
        <v>0</v>
      </c>
      <c r="CO72" s="14">
        <f t="shared" si="29"/>
        <v>0</v>
      </c>
      <c r="CP72" s="8">
        <f t="shared" si="27"/>
        <v>0</v>
      </c>
      <c r="CQ72" s="13">
        <f t="shared" si="19"/>
        <v>0</v>
      </c>
      <c r="CR72" s="17" t="str">
        <f t="shared" si="28"/>
        <v>nenhuma</v>
      </c>
      <c r="CS72" s="13">
        <f t="shared" si="20"/>
        <v>0</v>
      </c>
    </row>
    <row r="73" spans="1:97" x14ac:dyDescent="0.25">
      <c r="A73" s="7">
        <v>69</v>
      </c>
      <c r="B73" s="41"/>
      <c r="C73" s="41"/>
      <c r="D73" s="41"/>
      <c r="E73" s="41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P73" s="10">
        <f t="shared" si="21"/>
        <v>0</v>
      </c>
      <c r="BR73" s="11">
        <v>0</v>
      </c>
      <c r="BS73" s="12"/>
      <c r="BT73" s="15"/>
      <c r="BU73" s="12"/>
      <c r="BV73" s="13">
        <f t="shared" si="22"/>
        <v>0</v>
      </c>
      <c r="BX73" s="14"/>
      <c r="BY73" s="8"/>
      <c r="BZ73" s="13">
        <f t="shared" si="23"/>
        <v>0</v>
      </c>
      <c r="CB73" s="15"/>
      <c r="CD73" s="8"/>
      <c r="CE73" s="13">
        <f t="shared" si="24"/>
        <v>0</v>
      </c>
      <c r="CG73" s="9"/>
      <c r="CH73" s="13">
        <f t="shared" si="25"/>
        <v>0</v>
      </c>
      <c r="CI73" s="16">
        <f t="shared" si="26"/>
        <v>0</v>
      </c>
      <c r="CK73" s="8">
        <f t="shared" si="16"/>
        <v>0</v>
      </c>
      <c r="CL73" s="13">
        <f t="shared" si="17"/>
        <v>0</v>
      </c>
      <c r="CM73" s="13">
        <f t="shared" si="18"/>
        <v>0</v>
      </c>
      <c r="CO73" s="14">
        <f t="shared" si="29"/>
        <v>0</v>
      </c>
      <c r="CP73" s="8">
        <f t="shared" si="27"/>
        <v>0</v>
      </c>
      <c r="CQ73" s="13">
        <f t="shared" si="19"/>
        <v>0</v>
      </c>
      <c r="CR73" s="17" t="str">
        <f t="shared" si="28"/>
        <v>nenhuma</v>
      </c>
      <c r="CS73" s="13">
        <f t="shared" si="20"/>
        <v>0</v>
      </c>
    </row>
    <row r="74" spans="1:97" x14ac:dyDescent="0.25">
      <c r="A74" s="7">
        <v>70</v>
      </c>
      <c r="B74" s="41"/>
      <c r="C74" s="41"/>
      <c r="D74" s="41"/>
      <c r="E74" s="41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P74" s="10">
        <f t="shared" si="21"/>
        <v>0</v>
      </c>
      <c r="BR74" s="11">
        <v>0</v>
      </c>
      <c r="BS74" s="12"/>
      <c r="BT74" s="15"/>
      <c r="BU74" s="12"/>
      <c r="BV74" s="13">
        <f t="shared" si="22"/>
        <v>0</v>
      </c>
      <c r="BX74" s="14"/>
      <c r="BY74" s="8"/>
      <c r="BZ74" s="13">
        <f t="shared" si="23"/>
        <v>0</v>
      </c>
      <c r="CB74" s="15"/>
      <c r="CD74" s="8"/>
      <c r="CE74" s="13">
        <f t="shared" si="24"/>
        <v>0</v>
      </c>
      <c r="CG74" s="9"/>
      <c r="CH74" s="13">
        <f t="shared" si="25"/>
        <v>0</v>
      </c>
      <c r="CI74" s="16">
        <f t="shared" si="26"/>
        <v>0</v>
      </c>
      <c r="CK74" s="8">
        <f t="shared" si="16"/>
        <v>0</v>
      </c>
      <c r="CL74" s="13">
        <f t="shared" si="17"/>
        <v>0</v>
      </c>
      <c r="CM74" s="13">
        <f t="shared" si="18"/>
        <v>0</v>
      </c>
      <c r="CO74" s="14">
        <f t="shared" si="29"/>
        <v>0</v>
      </c>
      <c r="CP74" s="8">
        <f t="shared" si="27"/>
        <v>0</v>
      </c>
      <c r="CQ74" s="13">
        <f t="shared" si="19"/>
        <v>0</v>
      </c>
      <c r="CR74" s="17" t="str">
        <f t="shared" si="28"/>
        <v>nenhuma</v>
      </c>
      <c r="CS74" s="13">
        <f t="shared" si="20"/>
        <v>0</v>
      </c>
    </row>
    <row r="75" spans="1:97" x14ac:dyDescent="0.25">
      <c r="A75" s="7">
        <v>71</v>
      </c>
      <c r="B75" s="41"/>
      <c r="C75" s="41"/>
      <c r="D75" s="41"/>
      <c r="E75" s="41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P75" s="10">
        <f t="shared" si="21"/>
        <v>0</v>
      </c>
      <c r="BR75" s="11">
        <v>0</v>
      </c>
      <c r="BS75" s="12"/>
      <c r="BT75" s="15"/>
      <c r="BU75" s="12"/>
      <c r="BV75" s="13">
        <f t="shared" si="22"/>
        <v>0</v>
      </c>
      <c r="BX75" s="14"/>
      <c r="BY75" s="8"/>
      <c r="BZ75" s="13">
        <f t="shared" si="23"/>
        <v>0</v>
      </c>
      <c r="CB75" s="15"/>
      <c r="CD75" s="8"/>
      <c r="CE75" s="13">
        <f t="shared" si="24"/>
        <v>0</v>
      </c>
      <c r="CG75" s="9"/>
      <c r="CH75" s="13">
        <f t="shared" si="25"/>
        <v>0</v>
      </c>
      <c r="CI75" s="16">
        <f t="shared" si="26"/>
        <v>0</v>
      </c>
      <c r="CK75" s="8">
        <f t="shared" si="16"/>
        <v>0</v>
      </c>
      <c r="CL75" s="13">
        <f t="shared" si="17"/>
        <v>0</v>
      </c>
      <c r="CM75" s="13">
        <f t="shared" si="18"/>
        <v>0</v>
      </c>
      <c r="CO75" s="14">
        <f t="shared" si="29"/>
        <v>0</v>
      </c>
      <c r="CP75" s="8">
        <f t="shared" si="27"/>
        <v>0</v>
      </c>
      <c r="CQ75" s="13">
        <f t="shared" si="19"/>
        <v>0</v>
      </c>
      <c r="CR75" s="17" t="str">
        <f t="shared" si="28"/>
        <v>nenhuma</v>
      </c>
      <c r="CS75" s="13">
        <f t="shared" si="20"/>
        <v>0</v>
      </c>
    </row>
    <row r="76" spans="1:97" x14ac:dyDescent="0.25">
      <c r="A76" s="7">
        <v>72</v>
      </c>
      <c r="B76" s="41"/>
      <c r="C76" s="41"/>
      <c r="D76" s="41"/>
      <c r="E76" s="41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P76" s="10">
        <f t="shared" si="21"/>
        <v>0</v>
      </c>
      <c r="BR76" s="11">
        <v>0</v>
      </c>
      <c r="BS76" s="12"/>
      <c r="BT76" s="15"/>
      <c r="BU76" s="12"/>
      <c r="BV76" s="13">
        <f t="shared" si="22"/>
        <v>0</v>
      </c>
      <c r="BX76" s="14"/>
      <c r="BY76" s="8"/>
      <c r="BZ76" s="13">
        <f t="shared" si="23"/>
        <v>0</v>
      </c>
      <c r="CB76" s="15"/>
      <c r="CD76" s="8"/>
      <c r="CE76" s="13">
        <f t="shared" si="24"/>
        <v>0</v>
      </c>
      <c r="CG76" s="9"/>
      <c r="CH76" s="13">
        <f t="shared" si="25"/>
        <v>0</v>
      </c>
      <c r="CI76" s="16">
        <f t="shared" si="26"/>
        <v>0</v>
      </c>
      <c r="CK76" s="8">
        <f t="shared" si="16"/>
        <v>0</v>
      </c>
      <c r="CL76" s="13">
        <f t="shared" si="17"/>
        <v>0</v>
      </c>
      <c r="CM76" s="13">
        <f t="shared" si="18"/>
        <v>0</v>
      </c>
      <c r="CO76" s="14">
        <f t="shared" si="29"/>
        <v>0</v>
      </c>
      <c r="CP76" s="8">
        <f t="shared" si="27"/>
        <v>0</v>
      </c>
      <c r="CQ76" s="13">
        <f t="shared" si="19"/>
        <v>0</v>
      </c>
      <c r="CR76" s="17" t="str">
        <f t="shared" si="28"/>
        <v>nenhuma</v>
      </c>
      <c r="CS76" s="13">
        <f t="shared" si="20"/>
        <v>0</v>
      </c>
    </row>
    <row r="77" spans="1:97" x14ac:dyDescent="0.25">
      <c r="A77" s="7">
        <v>73</v>
      </c>
      <c r="B77" s="41"/>
      <c r="C77" s="41"/>
      <c r="D77" s="41"/>
      <c r="E77" s="41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P77" s="10">
        <f t="shared" si="21"/>
        <v>0</v>
      </c>
      <c r="BR77" s="11">
        <v>0</v>
      </c>
      <c r="BS77" s="12"/>
      <c r="BT77" s="15"/>
      <c r="BU77" s="12"/>
      <c r="BV77" s="13">
        <f t="shared" si="22"/>
        <v>0</v>
      </c>
      <c r="BX77" s="14"/>
      <c r="BY77" s="8"/>
      <c r="BZ77" s="13">
        <f t="shared" si="23"/>
        <v>0</v>
      </c>
      <c r="CB77" s="15"/>
      <c r="CD77" s="8"/>
      <c r="CE77" s="13">
        <f t="shared" si="24"/>
        <v>0</v>
      </c>
      <c r="CG77" s="9"/>
      <c r="CH77" s="13">
        <f t="shared" si="25"/>
        <v>0</v>
      </c>
      <c r="CI77" s="16">
        <f t="shared" si="26"/>
        <v>0</v>
      </c>
      <c r="CK77" s="8">
        <f t="shared" si="16"/>
        <v>0</v>
      </c>
      <c r="CL77" s="13">
        <f t="shared" si="17"/>
        <v>0</v>
      </c>
      <c r="CM77" s="13">
        <f t="shared" si="18"/>
        <v>0</v>
      </c>
      <c r="CO77" s="14">
        <f t="shared" si="29"/>
        <v>0</v>
      </c>
      <c r="CP77" s="8">
        <f t="shared" si="27"/>
        <v>0</v>
      </c>
      <c r="CQ77" s="13">
        <f t="shared" si="19"/>
        <v>0</v>
      </c>
      <c r="CR77" s="17" t="str">
        <f t="shared" si="28"/>
        <v>nenhuma</v>
      </c>
      <c r="CS77" s="13">
        <f t="shared" si="20"/>
        <v>0</v>
      </c>
    </row>
    <row r="78" spans="1:97" x14ac:dyDescent="0.25">
      <c r="A78" s="7">
        <v>74</v>
      </c>
      <c r="B78" s="41"/>
      <c r="C78" s="41"/>
      <c r="D78" s="41"/>
      <c r="E78" s="41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P78" s="10">
        <f t="shared" si="21"/>
        <v>0</v>
      </c>
      <c r="BR78" s="11">
        <v>0</v>
      </c>
      <c r="BS78" s="12"/>
      <c r="BT78" s="15"/>
      <c r="BU78" s="12"/>
      <c r="BV78" s="13">
        <f t="shared" si="22"/>
        <v>0</v>
      </c>
      <c r="BX78" s="14"/>
      <c r="BY78" s="8"/>
      <c r="BZ78" s="13">
        <f t="shared" si="23"/>
        <v>0</v>
      </c>
      <c r="CB78" s="15"/>
      <c r="CD78" s="8"/>
      <c r="CE78" s="13">
        <f t="shared" si="24"/>
        <v>0</v>
      </c>
      <c r="CG78" s="9"/>
      <c r="CH78" s="13">
        <f t="shared" si="25"/>
        <v>0</v>
      </c>
      <c r="CI78" s="16">
        <f t="shared" si="26"/>
        <v>0</v>
      </c>
      <c r="CK78" s="8">
        <f t="shared" si="16"/>
        <v>0</v>
      </c>
      <c r="CL78" s="13">
        <f t="shared" si="17"/>
        <v>0</v>
      </c>
      <c r="CM78" s="13">
        <f t="shared" si="18"/>
        <v>0</v>
      </c>
      <c r="CO78" s="14">
        <f t="shared" si="29"/>
        <v>0</v>
      </c>
      <c r="CP78" s="8">
        <f t="shared" si="27"/>
        <v>0</v>
      </c>
      <c r="CQ78" s="13">
        <f t="shared" si="19"/>
        <v>0</v>
      </c>
      <c r="CR78" s="17" t="str">
        <f t="shared" si="28"/>
        <v>nenhuma</v>
      </c>
      <c r="CS78" s="13">
        <f t="shared" si="20"/>
        <v>0</v>
      </c>
    </row>
    <row r="79" spans="1:97" x14ac:dyDescent="0.25">
      <c r="A79" s="7">
        <v>75</v>
      </c>
      <c r="B79" s="41"/>
      <c r="C79" s="41"/>
      <c r="D79" s="41"/>
      <c r="E79" s="41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P79" s="10">
        <f t="shared" si="21"/>
        <v>0</v>
      </c>
      <c r="BR79" s="11">
        <v>0</v>
      </c>
      <c r="BS79" s="12"/>
      <c r="BT79" s="15"/>
      <c r="BU79" s="12"/>
      <c r="BV79" s="13">
        <f t="shared" si="22"/>
        <v>0</v>
      </c>
      <c r="BX79" s="14"/>
      <c r="BY79" s="8"/>
      <c r="BZ79" s="13">
        <f t="shared" si="23"/>
        <v>0</v>
      </c>
      <c r="CB79" s="15"/>
      <c r="CD79" s="8"/>
      <c r="CE79" s="13">
        <f t="shared" si="24"/>
        <v>0</v>
      </c>
      <c r="CG79" s="9"/>
      <c r="CH79" s="13">
        <f t="shared" si="25"/>
        <v>0</v>
      </c>
      <c r="CI79" s="16">
        <f t="shared" si="26"/>
        <v>0</v>
      </c>
      <c r="CK79" s="8">
        <f t="shared" si="16"/>
        <v>0</v>
      </c>
      <c r="CL79" s="13">
        <f t="shared" si="17"/>
        <v>0</v>
      </c>
      <c r="CM79" s="13">
        <f t="shared" si="18"/>
        <v>0</v>
      </c>
      <c r="CO79" s="14">
        <f t="shared" si="29"/>
        <v>0</v>
      </c>
      <c r="CP79" s="8">
        <f t="shared" si="27"/>
        <v>0</v>
      </c>
      <c r="CQ79" s="13">
        <f t="shared" si="19"/>
        <v>0</v>
      </c>
      <c r="CR79" s="17" t="str">
        <f t="shared" si="28"/>
        <v>nenhuma</v>
      </c>
      <c r="CS79" s="13">
        <f t="shared" si="20"/>
        <v>0</v>
      </c>
    </row>
    <row r="80" spans="1:97" x14ac:dyDescent="0.25">
      <c r="A80" s="7">
        <v>76</v>
      </c>
      <c r="B80" s="41"/>
      <c r="C80" s="41"/>
      <c r="D80" s="41"/>
      <c r="E80" s="41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P80" s="10">
        <f t="shared" si="21"/>
        <v>0</v>
      </c>
      <c r="BR80" s="11">
        <v>0</v>
      </c>
      <c r="BS80" s="12"/>
      <c r="BT80" s="15"/>
      <c r="BU80" s="12"/>
      <c r="BV80" s="13">
        <f t="shared" si="22"/>
        <v>0</v>
      </c>
      <c r="BX80" s="14"/>
      <c r="BY80" s="8"/>
      <c r="BZ80" s="13">
        <f t="shared" si="23"/>
        <v>0</v>
      </c>
      <c r="CB80" s="15"/>
      <c r="CD80" s="8"/>
      <c r="CE80" s="13">
        <f t="shared" si="24"/>
        <v>0</v>
      </c>
      <c r="CG80" s="9"/>
      <c r="CH80" s="13">
        <f t="shared" si="25"/>
        <v>0</v>
      </c>
      <c r="CI80" s="16">
        <f t="shared" si="26"/>
        <v>0</v>
      </c>
      <c r="CK80" s="8">
        <f t="shared" si="16"/>
        <v>0</v>
      </c>
      <c r="CL80" s="13">
        <f t="shared" si="17"/>
        <v>0</v>
      </c>
      <c r="CM80" s="13">
        <f t="shared" si="18"/>
        <v>0</v>
      </c>
      <c r="CO80" s="14">
        <f t="shared" si="29"/>
        <v>0</v>
      </c>
      <c r="CP80" s="8">
        <f t="shared" si="27"/>
        <v>0</v>
      </c>
      <c r="CQ80" s="13">
        <f t="shared" si="19"/>
        <v>0</v>
      </c>
      <c r="CR80" s="17" t="str">
        <f t="shared" si="28"/>
        <v>nenhuma</v>
      </c>
      <c r="CS80" s="13">
        <f t="shared" si="20"/>
        <v>0</v>
      </c>
    </row>
    <row r="81" spans="1:97" x14ac:dyDescent="0.25">
      <c r="A81" s="7">
        <v>77</v>
      </c>
      <c r="B81" s="41"/>
      <c r="C81" s="41"/>
      <c r="D81" s="41"/>
      <c r="E81" s="41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P81" s="10">
        <f t="shared" si="21"/>
        <v>0</v>
      </c>
      <c r="BR81" s="11">
        <v>0</v>
      </c>
      <c r="BS81" s="12"/>
      <c r="BT81" s="15"/>
      <c r="BU81" s="12"/>
      <c r="BV81" s="13">
        <f t="shared" si="22"/>
        <v>0</v>
      </c>
      <c r="BX81" s="14"/>
      <c r="BY81" s="8"/>
      <c r="BZ81" s="13">
        <f t="shared" si="23"/>
        <v>0</v>
      </c>
      <c r="CB81" s="15"/>
      <c r="CD81" s="8"/>
      <c r="CE81" s="13">
        <f t="shared" si="24"/>
        <v>0</v>
      </c>
      <c r="CG81" s="9"/>
      <c r="CH81" s="13">
        <f t="shared" si="25"/>
        <v>0</v>
      </c>
      <c r="CI81" s="16">
        <f t="shared" si="26"/>
        <v>0</v>
      </c>
      <c r="CK81" s="8">
        <f t="shared" si="16"/>
        <v>0</v>
      </c>
      <c r="CL81" s="13">
        <f t="shared" si="17"/>
        <v>0</v>
      </c>
      <c r="CM81" s="13">
        <f t="shared" si="18"/>
        <v>0</v>
      </c>
      <c r="CO81" s="14">
        <f t="shared" si="29"/>
        <v>0</v>
      </c>
      <c r="CP81" s="8">
        <f t="shared" si="27"/>
        <v>0</v>
      </c>
      <c r="CQ81" s="13">
        <f t="shared" si="19"/>
        <v>0</v>
      </c>
      <c r="CR81" s="17" t="str">
        <f t="shared" si="28"/>
        <v>nenhuma</v>
      </c>
      <c r="CS81" s="13">
        <f t="shared" si="20"/>
        <v>0</v>
      </c>
    </row>
    <row r="82" spans="1:97" x14ac:dyDescent="0.25">
      <c r="A82" s="7">
        <v>78</v>
      </c>
      <c r="B82" s="41"/>
      <c r="C82" s="41"/>
      <c r="D82" s="41"/>
      <c r="E82" s="41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P82" s="10">
        <f t="shared" si="21"/>
        <v>0</v>
      </c>
      <c r="BR82" s="11">
        <v>0</v>
      </c>
      <c r="BS82" s="12"/>
      <c r="BT82" s="15"/>
      <c r="BU82" s="12"/>
      <c r="BV82" s="13">
        <f t="shared" si="22"/>
        <v>0</v>
      </c>
      <c r="BX82" s="14"/>
      <c r="BY82" s="8"/>
      <c r="BZ82" s="13">
        <f t="shared" si="23"/>
        <v>0</v>
      </c>
      <c r="CB82" s="15"/>
      <c r="CD82" s="8"/>
      <c r="CE82" s="13">
        <f t="shared" si="24"/>
        <v>0</v>
      </c>
      <c r="CG82" s="9"/>
      <c r="CH82" s="13">
        <f t="shared" si="25"/>
        <v>0</v>
      </c>
      <c r="CI82" s="16">
        <f t="shared" si="26"/>
        <v>0</v>
      </c>
      <c r="CK82" s="8">
        <f t="shared" si="16"/>
        <v>0</v>
      </c>
      <c r="CL82" s="13">
        <f t="shared" si="17"/>
        <v>0</v>
      </c>
      <c r="CM82" s="13">
        <f t="shared" si="18"/>
        <v>0</v>
      </c>
      <c r="CO82" s="14">
        <f t="shared" si="29"/>
        <v>0</v>
      </c>
      <c r="CP82" s="8">
        <f t="shared" si="27"/>
        <v>0</v>
      </c>
      <c r="CQ82" s="13">
        <f t="shared" si="19"/>
        <v>0</v>
      </c>
      <c r="CR82" s="17" t="str">
        <f t="shared" si="28"/>
        <v>nenhuma</v>
      </c>
      <c r="CS82" s="13">
        <f t="shared" si="20"/>
        <v>0</v>
      </c>
    </row>
    <row r="83" spans="1:97" x14ac:dyDescent="0.25">
      <c r="A83" s="7">
        <v>79</v>
      </c>
      <c r="B83" s="41"/>
      <c r="C83" s="41"/>
      <c r="D83" s="41"/>
      <c r="E83" s="41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P83" s="10">
        <f t="shared" si="21"/>
        <v>0</v>
      </c>
      <c r="BR83" s="11">
        <v>0</v>
      </c>
      <c r="BS83" s="12"/>
      <c r="BT83" s="15"/>
      <c r="BU83" s="12"/>
      <c r="BV83" s="13">
        <f t="shared" si="22"/>
        <v>0</v>
      </c>
      <c r="BX83" s="14"/>
      <c r="BY83" s="8"/>
      <c r="BZ83" s="13">
        <f t="shared" si="23"/>
        <v>0</v>
      </c>
      <c r="CB83" s="15"/>
      <c r="CD83" s="8"/>
      <c r="CE83" s="13">
        <f t="shared" si="24"/>
        <v>0</v>
      </c>
      <c r="CG83" s="9"/>
      <c r="CH83" s="13">
        <f t="shared" si="25"/>
        <v>0</v>
      </c>
      <c r="CI83" s="16">
        <f t="shared" si="26"/>
        <v>0</v>
      </c>
      <c r="CK83" s="8">
        <f t="shared" si="16"/>
        <v>0</v>
      </c>
      <c r="CL83" s="13">
        <f t="shared" si="17"/>
        <v>0</v>
      </c>
      <c r="CM83" s="13">
        <f t="shared" si="18"/>
        <v>0</v>
      </c>
      <c r="CO83" s="14">
        <f t="shared" si="29"/>
        <v>0</v>
      </c>
      <c r="CP83" s="8">
        <f t="shared" si="27"/>
        <v>0</v>
      </c>
      <c r="CQ83" s="13">
        <f t="shared" si="19"/>
        <v>0</v>
      </c>
      <c r="CR83" s="17" t="str">
        <f t="shared" si="28"/>
        <v>nenhuma</v>
      </c>
      <c r="CS83" s="13">
        <f t="shared" si="20"/>
        <v>0</v>
      </c>
    </row>
    <row r="84" spans="1:97" x14ac:dyDescent="0.25">
      <c r="A84" s="7">
        <v>80</v>
      </c>
      <c r="B84" s="41"/>
      <c r="C84" s="41"/>
      <c r="D84" s="41"/>
      <c r="E84" s="41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P84" s="10">
        <f t="shared" si="21"/>
        <v>0</v>
      </c>
      <c r="BR84" s="11">
        <v>0</v>
      </c>
      <c r="BS84" s="12"/>
      <c r="BT84" s="15"/>
      <c r="BU84" s="12"/>
      <c r="BV84" s="13">
        <f t="shared" si="22"/>
        <v>0</v>
      </c>
      <c r="BX84" s="14"/>
      <c r="BY84" s="8"/>
      <c r="BZ84" s="13">
        <f t="shared" si="23"/>
        <v>0</v>
      </c>
      <c r="CB84" s="15"/>
      <c r="CD84" s="8"/>
      <c r="CE84" s="13">
        <f t="shared" si="24"/>
        <v>0</v>
      </c>
      <c r="CG84" s="9"/>
      <c r="CH84" s="13">
        <f t="shared" si="25"/>
        <v>0</v>
      </c>
      <c r="CI84" s="16">
        <f t="shared" si="26"/>
        <v>0</v>
      </c>
      <c r="CK84" s="8">
        <f t="shared" si="16"/>
        <v>0</v>
      </c>
      <c r="CL84" s="13">
        <f t="shared" si="17"/>
        <v>0</v>
      </c>
      <c r="CM84" s="13">
        <f t="shared" si="18"/>
        <v>0</v>
      </c>
      <c r="CO84" s="14">
        <f t="shared" si="29"/>
        <v>0</v>
      </c>
      <c r="CP84" s="8">
        <f t="shared" si="27"/>
        <v>0</v>
      </c>
      <c r="CQ84" s="13">
        <f t="shared" si="19"/>
        <v>0</v>
      </c>
      <c r="CR84" s="17" t="str">
        <f t="shared" si="28"/>
        <v>nenhuma</v>
      </c>
      <c r="CS84" s="13">
        <f t="shared" si="20"/>
        <v>0</v>
      </c>
    </row>
    <row r="85" spans="1:97" x14ac:dyDescent="0.25">
      <c r="A85" s="7">
        <v>81</v>
      </c>
      <c r="B85" s="41"/>
      <c r="C85" s="41"/>
      <c r="D85" s="41"/>
      <c r="E85" s="41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P85" s="10">
        <f t="shared" si="21"/>
        <v>0</v>
      </c>
      <c r="BR85" s="11">
        <v>0</v>
      </c>
      <c r="BS85" s="12"/>
      <c r="BT85" s="15"/>
      <c r="BU85" s="12"/>
      <c r="BV85" s="13">
        <f t="shared" si="22"/>
        <v>0</v>
      </c>
      <c r="BX85" s="14"/>
      <c r="BY85" s="8"/>
      <c r="BZ85" s="13">
        <f t="shared" si="23"/>
        <v>0</v>
      </c>
      <c r="CB85" s="15"/>
      <c r="CD85" s="8"/>
      <c r="CE85" s="13">
        <f t="shared" si="24"/>
        <v>0</v>
      </c>
      <c r="CG85" s="9"/>
      <c r="CH85" s="13">
        <f t="shared" si="25"/>
        <v>0</v>
      </c>
      <c r="CI85" s="16">
        <f t="shared" si="26"/>
        <v>0</v>
      </c>
      <c r="CK85" s="8">
        <f t="shared" si="16"/>
        <v>0</v>
      </c>
      <c r="CL85" s="13">
        <f t="shared" si="17"/>
        <v>0</v>
      </c>
      <c r="CM85" s="13">
        <f t="shared" si="18"/>
        <v>0</v>
      </c>
      <c r="CO85" s="14">
        <f t="shared" si="29"/>
        <v>0</v>
      </c>
      <c r="CP85" s="8">
        <f t="shared" si="27"/>
        <v>0</v>
      </c>
      <c r="CQ85" s="13">
        <f t="shared" si="19"/>
        <v>0</v>
      </c>
      <c r="CR85" s="17" t="str">
        <f t="shared" si="28"/>
        <v>nenhuma</v>
      </c>
      <c r="CS85" s="13">
        <f t="shared" si="20"/>
        <v>0</v>
      </c>
    </row>
    <row r="86" spans="1:97" x14ac:dyDescent="0.25">
      <c r="A86" s="7">
        <v>82</v>
      </c>
      <c r="B86" s="41"/>
      <c r="C86" s="41"/>
      <c r="D86" s="41"/>
      <c r="E86" s="41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P86" s="10">
        <f t="shared" si="21"/>
        <v>0</v>
      </c>
      <c r="BR86" s="11">
        <v>0</v>
      </c>
      <c r="BS86" s="12"/>
      <c r="BT86" s="15"/>
      <c r="BU86" s="12"/>
      <c r="BV86" s="13">
        <f t="shared" si="22"/>
        <v>0</v>
      </c>
      <c r="BX86" s="14"/>
      <c r="BY86" s="8"/>
      <c r="BZ86" s="13">
        <f t="shared" si="23"/>
        <v>0</v>
      </c>
      <c r="CB86" s="15"/>
      <c r="CD86" s="8"/>
      <c r="CE86" s="13">
        <f t="shared" si="24"/>
        <v>0</v>
      </c>
      <c r="CG86" s="9"/>
      <c r="CH86" s="13">
        <f t="shared" si="25"/>
        <v>0</v>
      </c>
      <c r="CI86" s="16">
        <f t="shared" si="26"/>
        <v>0</v>
      </c>
      <c r="CK86" s="8">
        <f t="shared" si="16"/>
        <v>0</v>
      </c>
      <c r="CL86" s="13">
        <f t="shared" si="17"/>
        <v>0</v>
      </c>
      <c r="CM86" s="13">
        <f t="shared" si="18"/>
        <v>0</v>
      </c>
      <c r="CO86" s="14">
        <f t="shared" si="29"/>
        <v>0</v>
      </c>
      <c r="CP86" s="8">
        <f t="shared" si="27"/>
        <v>0</v>
      </c>
      <c r="CQ86" s="13">
        <f t="shared" si="19"/>
        <v>0</v>
      </c>
      <c r="CR86" s="17" t="str">
        <f t="shared" si="28"/>
        <v>nenhuma</v>
      </c>
      <c r="CS86" s="13">
        <f t="shared" si="20"/>
        <v>0</v>
      </c>
    </row>
    <row r="87" spans="1:97" x14ac:dyDescent="0.25">
      <c r="A87" s="7">
        <v>83</v>
      </c>
      <c r="B87" s="41"/>
      <c r="C87" s="41"/>
      <c r="D87" s="41"/>
      <c r="E87" s="41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P87" s="10">
        <f t="shared" si="21"/>
        <v>0</v>
      </c>
      <c r="BR87" s="11">
        <v>0</v>
      </c>
      <c r="BS87" s="12"/>
      <c r="BT87" s="15"/>
      <c r="BU87" s="12"/>
      <c r="BV87" s="13">
        <f t="shared" si="22"/>
        <v>0</v>
      </c>
      <c r="BX87" s="14"/>
      <c r="BY87" s="8"/>
      <c r="BZ87" s="13">
        <f t="shared" si="23"/>
        <v>0</v>
      </c>
      <c r="CB87" s="15"/>
      <c r="CD87" s="8"/>
      <c r="CE87" s="13">
        <f t="shared" si="24"/>
        <v>0</v>
      </c>
      <c r="CG87" s="9"/>
      <c r="CH87" s="13">
        <f t="shared" si="25"/>
        <v>0</v>
      </c>
      <c r="CI87" s="16">
        <f t="shared" si="26"/>
        <v>0</v>
      </c>
      <c r="CK87" s="8">
        <f t="shared" si="16"/>
        <v>0</v>
      </c>
      <c r="CL87" s="13">
        <f t="shared" si="17"/>
        <v>0</v>
      </c>
      <c r="CM87" s="13">
        <f t="shared" si="18"/>
        <v>0</v>
      </c>
      <c r="CO87" s="14">
        <f t="shared" si="29"/>
        <v>0</v>
      </c>
      <c r="CP87" s="8">
        <f t="shared" si="27"/>
        <v>0</v>
      </c>
      <c r="CQ87" s="13">
        <f t="shared" si="19"/>
        <v>0</v>
      </c>
      <c r="CR87" s="17" t="str">
        <f t="shared" si="28"/>
        <v>nenhuma</v>
      </c>
      <c r="CS87" s="13">
        <f t="shared" si="20"/>
        <v>0</v>
      </c>
    </row>
    <row r="88" spans="1:97" x14ac:dyDescent="0.25">
      <c r="A88" s="7">
        <v>84</v>
      </c>
      <c r="B88" s="41"/>
      <c r="C88" s="41"/>
      <c r="D88" s="41"/>
      <c r="E88" s="41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P88" s="10">
        <f t="shared" si="21"/>
        <v>0</v>
      </c>
      <c r="BR88" s="11">
        <v>0</v>
      </c>
      <c r="BS88" s="12"/>
      <c r="BT88" s="15"/>
      <c r="BU88" s="12"/>
      <c r="BV88" s="13">
        <f t="shared" si="22"/>
        <v>0</v>
      </c>
      <c r="BX88" s="14"/>
      <c r="BY88" s="8"/>
      <c r="BZ88" s="13">
        <f t="shared" si="23"/>
        <v>0</v>
      </c>
      <c r="CB88" s="15"/>
      <c r="CD88" s="8"/>
      <c r="CE88" s="13">
        <f t="shared" si="24"/>
        <v>0</v>
      </c>
      <c r="CG88" s="9"/>
      <c r="CH88" s="13">
        <f t="shared" si="25"/>
        <v>0</v>
      </c>
      <c r="CI88" s="16">
        <f t="shared" si="26"/>
        <v>0</v>
      </c>
      <c r="CK88" s="8">
        <f t="shared" si="16"/>
        <v>0</v>
      </c>
      <c r="CL88" s="13">
        <f t="shared" si="17"/>
        <v>0</v>
      </c>
      <c r="CM88" s="13">
        <f t="shared" si="18"/>
        <v>0</v>
      </c>
      <c r="CO88" s="14">
        <f t="shared" si="29"/>
        <v>0</v>
      </c>
      <c r="CP88" s="8">
        <f t="shared" si="27"/>
        <v>0</v>
      </c>
      <c r="CQ88" s="13">
        <f t="shared" si="19"/>
        <v>0</v>
      </c>
      <c r="CR88" s="17" t="str">
        <f t="shared" si="28"/>
        <v>nenhuma</v>
      </c>
      <c r="CS88" s="13">
        <f t="shared" si="20"/>
        <v>0</v>
      </c>
    </row>
    <row r="89" spans="1:97" x14ac:dyDescent="0.25">
      <c r="A89" s="7">
        <v>85</v>
      </c>
      <c r="B89" s="41"/>
      <c r="C89" s="41"/>
      <c r="D89" s="41"/>
      <c r="E89" s="41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P89" s="10">
        <f t="shared" si="21"/>
        <v>0</v>
      </c>
      <c r="BR89" s="11">
        <v>0</v>
      </c>
      <c r="BS89" s="12"/>
      <c r="BT89" s="15"/>
      <c r="BU89" s="12"/>
      <c r="BV89" s="13">
        <f t="shared" si="22"/>
        <v>0</v>
      </c>
      <c r="BX89" s="14"/>
      <c r="BY89" s="8"/>
      <c r="BZ89" s="13">
        <f t="shared" si="23"/>
        <v>0</v>
      </c>
      <c r="CB89" s="15"/>
      <c r="CD89" s="8"/>
      <c r="CE89" s="13">
        <f t="shared" si="24"/>
        <v>0</v>
      </c>
      <c r="CG89" s="9"/>
      <c r="CH89" s="13">
        <f t="shared" si="25"/>
        <v>0</v>
      </c>
      <c r="CI89" s="16">
        <f t="shared" si="26"/>
        <v>0</v>
      </c>
      <c r="CK89" s="8">
        <f t="shared" si="16"/>
        <v>0</v>
      </c>
      <c r="CL89" s="13">
        <f t="shared" si="17"/>
        <v>0</v>
      </c>
      <c r="CM89" s="13">
        <f t="shared" si="18"/>
        <v>0</v>
      </c>
      <c r="CO89" s="14">
        <f t="shared" si="29"/>
        <v>0</v>
      </c>
      <c r="CP89" s="8">
        <f t="shared" si="27"/>
        <v>0</v>
      </c>
      <c r="CQ89" s="13">
        <f t="shared" si="19"/>
        <v>0</v>
      </c>
      <c r="CR89" s="17" t="str">
        <f t="shared" si="28"/>
        <v>nenhuma</v>
      </c>
      <c r="CS89" s="13">
        <f t="shared" si="20"/>
        <v>0</v>
      </c>
    </row>
    <row r="90" spans="1:97" x14ac:dyDescent="0.25">
      <c r="A90" s="7">
        <v>86</v>
      </c>
      <c r="B90" s="41"/>
      <c r="C90" s="41"/>
      <c r="D90" s="41"/>
      <c r="E90" s="41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P90" s="10">
        <f t="shared" si="21"/>
        <v>0</v>
      </c>
      <c r="BR90" s="11">
        <v>0</v>
      </c>
      <c r="BS90" s="12"/>
      <c r="BT90" s="15"/>
      <c r="BU90" s="12"/>
      <c r="BV90" s="13">
        <f t="shared" si="22"/>
        <v>0</v>
      </c>
      <c r="BX90" s="14"/>
      <c r="BY90" s="8"/>
      <c r="BZ90" s="13">
        <f t="shared" si="23"/>
        <v>0</v>
      </c>
      <c r="CB90" s="15"/>
      <c r="CD90" s="8"/>
      <c r="CE90" s="13">
        <f t="shared" si="24"/>
        <v>0</v>
      </c>
      <c r="CG90" s="9"/>
      <c r="CH90" s="13">
        <f t="shared" si="25"/>
        <v>0</v>
      </c>
      <c r="CI90" s="16">
        <f t="shared" si="26"/>
        <v>0</v>
      </c>
      <c r="CK90" s="8">
        <f t="shared" si="16"/>
        <v>0</v>
      </c>
      <c r="CL90" s="13">
        <f t="shared" si="17"/>
        <v>0</v>
      </c>
      <c r="CM90" s="13">
        <f t="shared" si="18"/>
        <v>0</v>
      </c>
      <c r="CO90" s="14">
        <f t="shared" si="29"/>
        <v>0</v>
      </c>
      <c r="CP90" s="8">
        <f t="shared" si="27"/>
        <v>0</v>
      </c>
      <c r="CQ90" s="13">
        <f t="shared" si="19"/>
        <v>0</v>
      </c>
      <c r="CR90" s="17" t="str">
        <f t="shared" si="28"/>
        <v>nenhuma</v>
      </c>
      <c r="CS90" s="13">
        <f t="shared" si="20"/>
        <v>0</v>
      </c>
    </row>
    <row r="91" spans="1:97" x14ac:dyDescent="0.25">
      <c r="A91" s="7">
        <v>87</v>
      </c>
      <c r="B91" s="41"/>
      <c r="C91" s="41"/>
      <c r="D91" s="41"/>
      <c r="E91" s="41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P91" s="10">
        <f t="shared" si="21"/>
        <v>0</v>
      </c>
      <c r="BR91" s="11">
        <v>0</v>
      </c>
      <c r="BS91" s="12"/>
      <c r="BT91" s="15"/>
      <c r="BU91" s="12"/>
      <c r="BV91" s="13">
        <f t="shared" si="22"/>
        <v>0</v>
      </c>
      <c r="BX91" s="14"/>
      <c r="BY91" s="8"/>
      <c r="BZ91" s="13">
        <f t="shared" si="23"/>
        <v>0</v>
      </c>
      <c r="CB91" s="15"/>
      <c r="CD91" s="8"/>
      <c r="CE91" s="13">
        <f t="shared" si="24"/>
        <v>0</v>
      </c>
      <c r="CG91" s="9"/>
      <c r="CH91" s="13">
        <f t="shared" si="25"/>
        <v>0</v>
      </c>
      <c r="CI91" s="16">
        <f t="shared" si="26"/>
        <v>0</v>
      </c>
      <c r="CK91" s="8">
        <f t="shared" ref="CK91:CK122" si="30">CD91</f>
        <v>0</v>
      </c>
      <c r="CL91" s="13">
        <f t="shared" ref="CL91:CL122" si="31">IF(CK91="","",SUMIF($CB$5:$CB$220,"="&amp;CK91,$CH$5:$CH$220))</f>
        <v>0</v>
      </c>
      <c r="CM91" s="13">
        <f t="shared" ref="CM91:CM122" si="32">IF(CE91&gt;=0,IF(CL91&gt;=0,CE91-CL91,0),0)</f>
        <v>0</v>
      </c>
      <c r="CO91" s="14">
        <f t="shared" si="29"/>
        <v>0</v>
      </c>
      <c r="CP91" s="8">
        <f t="shared" si="27"/>
        <v>0</v>
      </c>
      <c r="CQ91" s="13">
        <f t="shared" ref="CQ91:CQ122" si="33">IF(CO91="","",IF(CP91="",SUMIF($B$5:$B$220,"="&amp;CO91,$CH$5:$CH$220),SUMIFS($CH$5:$CH$220, $B$5:$B$220, "="&amp;CO91, $C$5:$C$220,"="&amp;CP91)))</f>
        <v>0</v>
      </c>
      <c r="CR91" s="17" t="str">
        <f t="shared" si="28"/>
        <v>nenhuma</v>
      </c>
      <c r="CS91" s="13">
        <f t="shared" ref="CS91:CS122" si="34">IF(BZ91&gt;0,IF(CQ91&gt;=0,BZ91-CQ91,0),0)</f>
        <v>0</v>
      </c>
    </row>
    <row r="92" spans="1:97" x14ac:dyDescent="0.25">
      <c r="A92" s="7">
        <v>88</v>
      </c>
      <c r="B92" s="41"/>
      <c r="C92" s="41"/>
      <c r="D92" s="41"/>
      <c r="E92" s="41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P92" s="10">
        <f t="shared" si="21"/>
        <v>0</v>
      </c>
      <c r="BR92" s="11">
        <v>0</v>
      </c>
      <c r="BS92" s="12"/>
      <c r="BT92" s="15"/>
      <c r="BU92" s="12"/>
      <c r="BV92" s="13">
        <f t="shared" si="22"/>
        <v>0</v>
      </c>
      <c r="BX92" s="14"/>
      <c r="BY92" s="8"/>
      <c r="BZ92" s="13">
        <f t="shared" si="23"/>
        <v>0</v>
      </c>
      <c r="CB92" s="15"/>
      <c r="CD92" s="8"/>
      <c r="CE92" s="13">
        <f t="shared" si="24"/>
        <v>0</v>
      </c>
      <c r="CG92" s="9"/>
      <c r="CH92" s="13">
        <f t="shared" si="25"/>
        <v>0</v>
      </c>
      <c r="CI92" s="16">
        <f t="shared" si="26"/>
        <v>0</v>
      </c>
      <c r="CK92" s="8">
        <f t="shared" si="30"/>
        <v>0</v>
      </c>
      <c r="CL92" s="13">
        <f t="shared" si="31"/>
        <v>0</v>
      </c>
      <c r="CM92" s="13">
        <f t="shared" si="32"/>
        <v>0</v>
      </c>
      <c r="CO92" s="14">
        <f t="shared" si="29"/>
        <v>0</v>
      </c>
      <c r="CP92" s="8">
        <f t="shared" si="27"/>
        <v>0</v>
      </c>
      <c r="CQ92" s="13">
        <f t="shared" si="33"/>
        <v>0</v>
      </c>
      <c r="CR92" s="17" t="str">
        <f t="shared" si="28"/>
        <v>nenhuma</v>
      </c>
      <c r="CS92" s="13">
        <f t="shared" si="34"/>
        <v>0</v>
      </c>
    </row>
    <row r="93" spans="1:97" x14ac:dyDescent="0.25">
      <c r="A93" s="7">
        <v>89</v>
      </c>
      <c r="B93" s="41"/>
      <c r="C93" s="41"/>
      <c r="D93" s="41"/>
      <c r="E93" s="41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P93" s="10">
        <f t="shared" si="21"/>
        <v>0</v>
      </c>
      <c r="BR93" s="11">
        <v>0</v>
      </c>
      <c r="BS93" s="12"/>
      <c r="BT93" s="15"/>
      <c r="BU93" s="12"/>
      <c r="BV93" s="13">
        <f t="shared" si="22"/>
        <v>0</v>
      </c>
      <c r="BX93" s="14"/>
      <c r="BY93" s="8"/>
      <c r="BZ93" s="13">
        <f t="shared" si="23"/>
        <v>0</v>
      </c>
      <c r="CB93" s="15"/>
      <c r="CD93" s="8"/>
      <c r="CE93" s="13">
        <f t="shared" si="24"/>
        <v>0</v>
      </c>
      <c r="CG93" s="9"/>
      <c r="CH93" s="13">
        <f t="shared" si="25"/>
        <v>0</v>
      </c>
      <c r="CI93" s="16">
        <f t="shared" si="26"/>
        <v>0</v>
      </c>
      <c r="CK93" s="8">
        <f t="shared" si="30"/>
        <v>0</v>
      </c>
      <c r="CL93" s="13">
        <f t="shared" si="31"/>
        <v>0</v>
      </c>
      <c r="CM93" s="13">
        <f t="shared" si="32"/>
        <v>0</v>
      </c>
      <c r="CO93" s="14">
        <f t="shared" si="29"/>
        <v>0</v>
      </c>
      <c r="CP93" s="8">
        <f t="shared" si="27"/>
        <v>0</v>
      </c>
      <c r="CQ93" s="13">
        <f t="shared" si="33"/>
        <v>0</v>
      </c>
      <c r="CR93" s="17" t="str">
        <f t="shared" si="28"/>
        <v>nenhuma</v>
      </c>
      <c r="CS93" s="13">
        <f t="shared" si="34"/>
        <v>0</v>
      </c>
    </row>
    <row r="94" spans="1:97" x14ac:dyDescent="0.25">
      <c r="A94" s="7">
        <v>90</v>
      </c>
      <c r="B94" s="41"/>
      <c r="C94" s="41"/>
      <c r="D94" s="41"/>
      <c r="E94" s="41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P94" s="10">
        <f t="shared" si="21"/>
        <v>0</v>
      </c>
      <c r="BR94" s="11">
        <v>0</v>
      </c>
      <c r="BS94" s="12"/>
      <c r="BT94" s="15"/>
      <c r="BU94" s="12"/>
      <c r="BV94" s="13">
        <f t="shared" si="22"/>
        <v>0</v>
      </c>
      <c r="BX94" s="14"/>
      <c r="BY94" s="8"/>
      <c r="BZ94" s="13">
        <f t="shared" si="23"/>
        <v>0</v>
      </c>
      <c r="CB94" s="15"/>
      <c r="CD94" s="8"/>
      <c r="CE94" s="13">
        <f t="shared" si="24"/>
        <v>0</v>
      </c>
      <c r="CG94" s="9"/>
      <c r="CH94" s="13">
        <f t="shared" si="25"/>
        <v>0</v>
      </c>
      <c r="CI94" s="16">
        <f t="shared" si="26"/>
        <v>0</v>
      </c>
      <c r="CK94" s="8">
        <f t="shared" si="30"/>
        <v>0</v>
      </c>
      <c r="CL94" s="13">
        <f t="shared" si="31"/>
        <v>0</v>
      </c>
      <c r="CM94" s="13">
        <f t="shared" si="32"/>
        <v>0</v>
      </c>
      <c r="CO94" s="14">
        <f t="shared" si="29"/>
        <v>0</v>
      </c>
      <c r="CP94" s="8">
        <f t="shared" si="27"/>
        <v>0</v>
      </c>
      <c r="CQ94" s="13">
        <f t="shared" si="33"/>
        <v>0</v>
      </c>
      <c r="CR94" s="17" t="str">
        <f t="shared" si="28"/>
        <v>nenhuma</v>
      </c>
      <c r="CS94" s="13">
        <f t="shared" si="34"/>
        <v>0</v>
      </c>
    </row>
    <row r="95" spans="1:97" x14ac:dyDescent="0.25">
      <c r="A95" s="7">
        <v>91</v>
      </c>
      <c r="B95" s="41"/>
      <c r="C95" s="41"/>
      <c r="D95" s="41"/>
      <c r="E95" s="41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P95" s="10">
        <f t="shared" si="21"/>
        <v>0</v>
      </c>
      <c r="BR95" s="11">
        <v>0</v>
      </c>
      <c r="BS95" s="12"/>
      <c r="BT95" s="15"/>
      <c r="BU95" s="12"/>
      <c r="BV95" s="13">
        <f t="shared" si="22"/>
        <v>0</v>
      </c>
      <c r="BX95" s="14"/>
      <c r="BY95" s="8"/>
      <c r="BZ95" s="13">
        <f t="shared" si="23"/>
        <v>0</v>
      </c>
      <c r="CB95" s="15"/>
      <c r="CD95" s="8"/>
      <c r="CE95" s="13">
        <f t="shared" si="24"/>
        <v>0</v>
      </c>
      <c r="CG95" s="9"/>
      <c r="CH95" s="13">
        <f t="shared" si="25"/>
        <v>0</v>
      </c>
      <c r="CI95" s="16">
        <f t="shared" si="26"/>
        <v>0</v>
      </c>
      <c r="CK95" s="8">
        <f t="shared" si="30"/>
        <v>0</v>
      </c>
      <c r="CL95" s="13">
        <f t="shared" si="31"/>
        <v>0</v>
      </c>
      <c r="CM95" s="13">
        <f t="shared" si="32"/>
        <v>0</v>
      </c>
      <c r="CO95" s="14">
        <f t="shared" si="29"/>
        <v>0</v>
      </c>
      <c r="CP95" s="8">
        <f t="shared" si="27"/>
        <v>0</v>
      </c>
      <c r="CQ95" s="13">
        <f t="shared" si="33"/>
        <v>0</v>
      </c>
      <c r="CR95" s="17" t="str">
        <f t="shared" si="28"/>
        <v>nenhuma</v>
      </c>
      <c r="CS95" s="13">
        <f t="shared" si="34"/>
        <v>0</v>
      </c>
    </row>
    <row r="96" spans="1:97" x14ac:dyDescent="0.25">
      <c r="A96" s="7">
        <v>92</v>
      </c>
      <c r="B96" s="41"/>
      <c r="C96" s="41"/>
      <c r="D96" s="41"/>
      <c r="E96" s="41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P96" s="10">
        <f t="shared" si="21"/>
        <v>0</v>
      </c>
      <c r="BR96" s="11">
        <v>0</v>
      </c>
      <c r="BS96" s="12"/>
      <c r="BT96" s="15"/>
      <c r="BU96" s="12"/>
      <c r="BV96" s="13">
        <f t="shared" si="22"/>
        <v>0</v>
      </c>
      <c r="BX96" s="14"/>
      <c r="BY96" s="8"/>
      <c r="BZ96" s="13">
        <f t="shared" si="23"/>
        <v>0</v>
      </c>
      <c r="CB96" s="15"/>
      <c r="CD96" s="8"/>
      <c r="CE96" s="13">
        <f t="shared" si="24"/>
        <v>0</v>
      </c>
      <c r="CG96" s="9"/>
      <c r="CH96" s="13">
        <f t="shared" si="25"/>
        <v>0</v>
      </c>
      <c r="CI96" s="16">
        <f t="shared" si="26"/>
        <v>0</v>
      </c>
      <c r="CK96" s="8">
        <f t="shared" si="30"/>
        <v>0</v>
      </c>
      <c r="CL96" s="13">
        <f t="shared" si="31"/>
        <v>0</v>
      </c>
      <c r="CM96" s="13">
        <f t="shared" si="32"/>
        <v>0</v>
      </c>
      <c r="CO96" s="14">
        <f t="shared" si="29"/>
        <v>0</v>
      </c>
      <c r="CP96" s="8">
        <f t="shared" si="27"/>
        <v>0</v>
      </c>
      <c r="CQ96" s="13">
        <f t="shared" si="33"/>
        <v>0</v>
      </c>
      <c r="CR96" s="17" t="str">
        <f t="shared" si="28"/>
        <v>nenhuma</v>
      </c>
      <c r="CS96" s="13">
        <f t="shared" si="34"/>
        <v>0</v>
      </c>
    </row>
    <row r="97" spans="1:97" x14ac:dyDescent="0.25">
      <c r="A97" s="7">
        <v>93</v>
      </c>
      <c r="B97" s="41"/>
      <c r="C97" s="41"/>
      <c r="D97" s="41"/>
      <c r="E97" s="41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P97" s="10">
        <f t="shared" si="21"/>
        <v>0</v>
      </c>
      <c r="BR97" s="11">
        <v>0</v>
      </c>
      <c r="BS97" s="12"/>
      <c r="BT97" s="15"/>
      <c r="BU97" s="12"/>
      <c r="BV97" s="13">
        <f t="shared" si="22"/>
        <v>0</v>
      </c>
      <c r="BX97" s="14"/>
      <c r="BY97" s="8"/>
      <c r="BZ97" s="13">
        <f t="shared" si="23"/>
        <v>0</v>
      </c>
      <c r="CB97" s="15"/>
      <c r="CD97" s="8"/>
      <c r="CE97" s="13">
        <f t="shared" si="24"/>
        <v>0</v>
      </c>
      <c r="CG97" s="9"/>
      <c r="CH97" s="13">
        <f t="shared" si="25"/>
        <v>0</v>
      </c>
      <c r="CI97" s="16">
        <f t="shared" si="26"/>
        <v>0</v>
      </c>
      <c r="CK97" s="8">
        <f t="shared" si="30"/>
        <v>0</v>
      </c>
      <c r="CL97" s="13">
        <f t="shared" si="31"/>
        <v>0</v>
      </c>
      <c r="CM97" s="13">
        <f t="shared" si="32"/>
        <v>0</v>
      </c>
      <c r="CO97" s="14">
        <f t="shared" si="29"/>
        <v>0</v>
      </c>
      <c r="CP97" s="8">
        <f t="shared" si="27"/>
        <v>0</v>
      </c>
      <c r="CQ97" s="13">
        <f t="shared" si="33"/>
        <v>0</v>
      </c>
      <c r="CR97" s="17" t="str">
        <f t="shared" si="28"/>
        <v>nenhuma</v>
      </c>
      <c r="CS97" s="13">
        <f t="shared" si="34"/>
        <v>0</v>
      </c>
    </row>
    <row r="98" spans="1:97" x14ac:dyDescent="0.25">
      <c r="A98" s="7">
        <v>94</v>
      </c>
      <c r="B98" s="41"/>
      <c r="C98" s="41"/>
      <c r="D98" s="41"/>
      <c r="E98" s="41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P98" s="10">
        <f t="shared" si="21"/>
        <v>0</v>
      </c>
      <c r="BR98" s="11">
        <v>0</v>
      </c>
      <c r="BS98" s="12"/>
      <c r="BT98" s="15"/>
      <c r="BU98" s="12"/>
      <c r="BV98" s="13">
        <f t="shared" si="22"/>
        <v>0</v>
      </c>
      <c r="BX98" s="14"/>
      <c r="BY98" s="8"/>
      <c r="BZ98" s="13">
        <f t="shared" si="23"/>
        <v>0</v>
      </c>
      <c r="CB98" s="15"/>
      <c r="CD98" s="8"/>
      <c r="CE98" s="13">
        <f t="shared" si="24"/>
        <v>0</v>
      </c>
      <c r="CG98" s="9"/>
      <c r="CH98" s="13">
        <f t="shared" si="25"/>
        <v>0</v>
      </c>
      <c r="CI98" s="16">
        <f t="shared" si="26"/>
        <v>0</v>
      </c>
      <c r="CK98" s="8">
        <f t="shared" si="30"/>
        <v>0</v>
      </c>
      <c r="CL98" s="13">
        <f t="shared" si="31"/>
        <v>0</v>
      </c>
      <c r="CM98" s="13">
        <f t="shared" si="32"/>
        <v>0</v>
      </c>
      <c r="CO98" s="14">
        <f t="shared" si="29"/>
        <v>0</v>
      </c>
      <c r="CP98" s="8">
        <f t="shared" si="27"/>
        <v>0</v>
      </c>
      <c r="CQ98" s="13">
        <f t="shared" si="33"/>
        <v>0</v>
      </c>
      <c r="CR98" s="17" t="str">
        <f t="shared" si="28"/>
        <v>nenhuma</v>
      </c>
      <c r="CS98" s="13">
        <f t="shared" si="34"/>
        <v>0</v>
      </c>
    </row>
    <row r="99" spans="1:97" x14ac:dyDescent="0.25">
      <c r="A99" s="7">
        <v>95</v>
      </c>
      <c r="B99" s="41"/>
      <c r="C99" s="41"/>
      <c r="D99" s="41"/>
      <c r="E99" s="41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P99" s="10">
        <f t="shared" si="21"/>
        <v>0</v>
      </c>
      <c r="BR99" s="11">
        <v>0</v>
      </c>
      <c r="BS99" s="12"/>
      <c r="BT99" s="15"/>
      <c r="BU99" s="12"/>
      <c r="BV99" s="13">
        <f t="shared" si="22"/>
        <v>0</v>
      </c>
      <c r="BX99" s="14"/>
      <c r="BY99" s="8"/>
      <c r="BZ99" s="13">
        <f t="shared" si="23"/>
        <v>0</v>
      </c>
      <c r="CB99" s="15"/>
      <c r="CD99" s="8"/>
      <c r="CE99" s="13">
        <f t="shared" si="24"/>
        <v>0</v>
      </c>
      <c r="CG99" s="9"/>
      <c r="CH99" s="13">
        <f t="shared" si="25"/>
        <v>0</v>
      </c>
      <c r="CI99" s="16">
        <f t="shared" si="26"/>
        <v>0</v>
      </c>
      <c r="CK99" s="8">
        <f t="shared" si="30"/>
        <v>0</v>
      </c>
      <c r="CL99" s="13">
        <f t="shared" si="31"/>
        <v>0</v>
      </c>
      <c r="CM99" s="13">
        <f t="shared" si="32"/>
        <v>0</v>
      </c>
      <c r="CO99" s="14">
        <f t="shared" si="29"/>
        <v>0</v>
      </c>
      <c r="CP99" s="8">
        <f t="shared" si="27"/>
        <v>0</v>
      </c>
      <c r="CQ99" s="13">
        <f t="shared" si="33"/>
        <v>0</v>
      </c>
      <c r="CR99" s="17" t="str">
        <f t="shared" si="28"/>
        <v>nenhuma</v>
      </c>
      <c r="CS99" s="13">
        <f t="shared" si="34"/>
        <v>0</v>
      </c>
    </row>
    <row r="100" spans="1:97" x14ac:dyDescent="0.25">
      <c r="A100" s="7">
        <v>96</v>
      </c>
      <c r="B100" s="41"/>
      <c r="C100" s="41"/>
      <c r="D100" s="41"/>
      <c r="E100" s="41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P100" s="10">
        <f t="shared" si="21"/>
        <v>0</v>
      </c>
      <c r="BR100" s="11">
        <v>0</v>
      </c>
      <c r="BS100" s="12"/>
      <c r="BT100" s="15"/>
      <c r="BU100" s="12"/>
      <c r="BV100" s="13">
        <f t="shared" si="22"/>
        <v>0</v>
      </c>
      <c r="BX100" s="14"/>
      <c r="BY100" s="8"/>
      <c r="BZ100" s="13">
        <f t="shared" si="23"/>
        <v>0</v>
      </c>
      <c r="CB100" s="15"/>
      <c r="CD100" s="8"/>
      <c r="CE100" s="13">
        <f t="shared" si="24"/>
        <v>0</v>
      </c>
      <c r="CG100" s="9"/>
      <c r="CH100" s="13">
        <f t="shared" si="25"/>
        <v>0</v>
      </c>
      <c r="CI100" s="16">
        <f t="shared" si="26"/>
        <v>0</v>
      </c>
      <c r="CK100" s="8">
        <f t="shared" si="30"/>
        <v>0</v>
      </c>
      <c r="CL100" s="13">
        <f t="shared" si="31"/>
        <v>0</v>
      </c>
      <c r="CM100" s="13">
        <f t="shared" si="32"/>
        <v>0</v>
      </c>
      <c r="CO100" s="14">
        <f t="shared" si="29"/>
        <v>0</v>
      </c>
      <c r="CP100" s="8">
        <f t="shared" si="27"/>
        <v>0</v>
      </c>
      <c r="CQ100" s="13">
        <f t="shared" si="33"/>
        <v>0</v>
      </c>
      <c r="CR100" s="17" t="str">
        <f t="shared" si="28"/>
        <v>nenhuma</v>
      </c>
      <c r="CS100" s="13">
        <f t="shared" si="34"/>
        <v>0</v>
      </c>
    </row>
    <row r="101" spans="1:97" x14ac:dyDescent="0.25">
      <c r="A101" s="7">
        <v>97</v>
      </c>
      <c r="B101" s="41"/>
      <c r="C101" s="41"/>
      <c r="D101" s="41"/>
      <c r="E101" s="41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P101" s="10">
        <f t="shared" si="21"/>
        <v>0</v>
      </c>
      <c r="BR101" s="11">
        <v>0</v>
      </c>
      <c r="BS101" s="12"/>
      <c r="BT101" s="15"/>
      <c r="BU101" s="12"/>
      <c r="BV101" s="13">
        <f t="shared" si="22"/>
        <v>0</v>
      </c>
      <c r="BX101" s="14"/>
      <c r="BY101" s="8"/>
      <c r="BZ101" s="13">
        <f t="shared" si="23"/>
        <v>0</v>
      </c>
      <c r="CB101" s="15"/>
      <c r="CD101" s="8"/>
      <c r="CE101" s="13">
        <f t="shared" si="24"/>
        <v>0</v>
      </c>
      <c r="CG101" s="9"/>
      <c r="CH101" s="13">
        <f t="shared" si="25"/>
        <v>0</v>
      </c>
      <c r="CI101" s="16">
        <f t="shared" si="26"/>
        <v>0</v>
      </c>
      <c r="CK101" s="8">
        <f t="shared" si="30"/>
        <v>0</v>
      </c>
      <c r="CL101" s="13">
        <f t="shared" si="31"/>
        <v>0</v>
      </c>
      <c r="CM101" s="13">
        <f t="shared" si="32"/>
        <v>0</v>
      </c>
      <c r="CO101" s="14">
        <f t="shared" si="29"/>
        <v>0</v>
      </c>
      <c r="CP101" s="8">
        <f t="shared" si="27"/>
        <v>0</v>
      </c>
      <c r="CQ101" s="13">
        <f t="shared" si="33"/>
        <v>0</v>
      </c>
      <c r="CR101" s="17" t="str">
        <f t="shared" si="28"/>
        <v>nenhuma</v>
      </c>
      <c r="CS101" s="13">
        <f t="shared" si="34"/>
        <v>0</v>
      </c>
    </row>
    <row r="102" spans="1:97" x14ac:dyDescent="0.25">
      <c r="A102" s="7">
        <v>98</v>
      </c>
      <c r="B102" s="41"/>
      <c r="C102" s="41"/>
      <c r="D102" s="41"/>
      <c r="E102" s="41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P102" s="10">
        <f t="shared" si="21"/>
        <v>0</v>
      </c>
      <c r="BR102" s="11">
        <v>0</v>
      </c>
      <c r="BS102" s="12"/>
      <c r="BT102" s="15"/>
      <c r="BU102" s="12"/>
      <c r="BV102" s="13">
        <f t="shared" si="22"/>
        <v>0</v>
      </c>
      <c r="BX102" s="14"/>
      <c r="BY102" s="8"/>
      <c r="BZ102" s="13">
        <f t="shared" si="23"/>
        <v>0</v>
      </c>
      <c r="CB102" s="15"/>
      <c r="CD102" s="8"/>
      <c r="CE102" s="13">
        <f t="shared" si="24"/>
        <v>0</v>
      </c>
      <c r="CG102" s="9"/>
      <c r="CH102" s="13">
        <f t="shared" si="25"/>
        <v>0</v>
      </c>
      <c r="CI102" s="16">
        <f t="shared" si="26"/>
        <v>0</v>
      </c>
      <c r="CK102" s="8">
        <f t="shared" si="30"/>
        <v>0</v>
      </c>
      <c r="CL102" s="13">
        <f t="shared" si="31"/>
        <v>0</v>
      </c>
      <c r="CM102" s="13">
        <f t="shared" si="32"/>
        <v>0</v>
      </c>
      <c r="CO102" s="14">
        <f t="shared" si="29"/>
        <v>0</v>
      </c>
      <c r="CP102" s="8">
        <f t="shared" si="27"/>
        <v>0</v>
      </c>
      <c r="CQ102" s="13">
        <f t="shared" si="33"/>
        <v>0</v>
      </c>
      <c r="CR102" s="17" t="str">
        <f t="shared" si="28"/>
        <v>nenhuma</v>
      </c>
      <c r="CS102" s="13">
        <f t="shared" si="34"/>
        <v>0</v>
      </c>
    </row>
    <row r="103" spans="1:97" x14ac:dyDescent="0.25">
      <c r="A103" s="7">
        <v>99</v>
      </c>
      <c r="B103" s="41"/>
      <c r="C103" s="41"/>
      <c r="D103" s="41"/>
      <c r="E103" s="41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P103" s="10">
        <f t="shared" si="21"/>
        <v>0</v>
      </c>
      <c r="BR103" s="11">
        <v>0</v>
      </c>
      <c r="BS103" s="12"/>
      <c r="BT103" s="15"/>
      <c r="BU103" s="12"/>
      <c r="BV103" s="13">
        <f t="shared" si="22"/>
        <v>0</v>
      </c>
      <c r="BX103" s="14"/>
      <c r="BY103" s="8"/>
      <c r="BZ103" s="13">
        <f t="shared" si="23"/>
        <v>0</v>
      </c>
      <c r="CB103" s="15"/>
      <c r="CD103" s="8"/>
      <c r="CE103" s="13">
        <f t="shared" si="24"/>
        <v>0</v>
      </c>
      <c r="CG103" s="9"/>
      <c r="CH103" s="13">
        <f t="shared" si="25"/>
        <v>0</v>
      </c>
      <c r="CI103" s="16">
        <f t="shared" si="26"/>
        <v>0</v>
      </c>
      <c r="CK103" s="8">
        <f t="shared" si="30"/>
        <v>0</v>
      </c>
      <c r="CL103" s="13">
        <f t="shared" si="31"/>
        <v>0</v>
      </c>
      <c r="CM103" s="13">
        <f t="shared" si="32"/>
        <v>0</v>
      </c>
      <c r="CO103" s="14">
        <f t="shared" si="29"/>
        <v>0</v>
      </c>
      <c r="CP103" s="8">
        <f t="shared" si="27"/>
        <v>0</v>
      </c>
      <c r="CQ103" s="13">
        <f t="shared" si="33"/>
        <v>0</v>
      </c>
      <c r="CR103" s="17" t="str">
        <f t="shared" si="28"/>
        <v>nenhuma</v>
      </c>
      <c r="CS103" s="13">
        <f t="shared" si="34"/>
        <v>0</v>
      </c>
    </row>
    <row r="104" spans="1:97" x14ac:dyDescent="0.25">
      <c r="A104" s="7">
        <v>100</v>
      </c>
      <c r="B104" s="41"/>
      <c r="C104" s="41"/>
      <c r="D104" s="41"/>
      <c r="E104" s="41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P104" s="10">
        <f t="shared" si="21"/>
        <v>0</v>
      </c>
      <c r="BR104" s="11">
        <v>0</v>
      </c>
      <c r="BS104" s="12"/>
      <c r="BT104" s="15"/>
      <c r="BU104" s="12"/>
      <c r="BV104" s="13">
        <f t="shared" si="22"/>
        <v>0</v>
      </c>
      <c r="BX104" s="14"/>
      <c r="BY104" s="8"/>
      <c r="BZ104" s="13">
        <f t="shared" si="23"/>
        <v>0</v>
      </c>
      <c r="CB104" s="15"/>
      <c r="CD104" s="8"/>
      <c r="CE104" s="13">
        <f t="shared" si="24"/>
        <v>0</v>
      </c>
      <c r="CG104" s="9"/>
      <c r="CH104" s="13">
        <f t="shared" si="25"/>
        <v>0</v>
      </c>
      <c r="CI104" s="16">
        <f t="shared" si="26"/>
        <v>0</v>
      </c>
      <c r="CK104" s="8">
        <f t="shared" si="30"/>
        <v>0</v>
      </c>
      <c r="CL104" s="13">
        <f t="shared" si="31"/>
        <v>0</v>
      </c>
      <c r="CM104" s="13">
        <f t="shared" si="32"/>
        <v>0</v>
      </c>
      <c r="CO104" s="14">
        <f t="shared" si="29"/>
        <v>0</v>
      </c>
      <c r="CP104" s="8">
        <f t="shared" si="27"/>
        <v>0</v>
      </c>
      <c r="CQ104" s="13">
        <f t="shared" si="33"/>
        <v>0</v>
      </c>
      <c r="CR104" s="17" t="str">
        <f t="shared" si="28"/>
        <v>nenhuma</v>
      </c>
      <c r="CS104" s="13">
        <f t="shared" si="34"/>
        <v>0</v>
      </c>
    </row>
    <row r="105" spans="1:97" x14ac:dyDescent="0.25">
      <c r="A105" s="7">
        <v>101</v>
      </c>
      <c r="B105" s="41"/>
      <c r="C105" s="41"/>
      <c r="D105" s="41"/>
      <c r="E105" s="41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P105" s="10">
        <f t="shared" si="21"/>
        <v>0</v>
      </c>
      <c r="BR105" s="11">
        <v>0</v>
      </c>
      <c r="BS105" s="12"/>
      <c r="BT105" s="15"/>
      <c r="BU105" s="12"/>
      <c r="BV105" s="13">
        <f t="shared" si="22"/>
        <v>0</v>
      </c>
      <c r="BX105" s="14"/>
      <c r="BY105" s="8"/>
      <c r="BZ105" s="13">
        <f t="shared" si="23"/>
        <v>0</v>
      </c>
      <c r="CB105" s="15"/>
      <c r="CD105" s="8"/>
      <c r="CE105" s="13">
        <f t="shared" si="24"/>
        <v>0</v>
      </c>
      <c r="CG105" s="9"/>
      <c r="CH105" s="13">
        <f t="shared" si="25"/>
        <v>0</v>
      </c>
      <c r="CI105" s="16">
        <f t="shared" si="26"/>
        <v>0</v>
      </c>
      <c r="CK105" s="8">
        <f t="shared" si="30"/>
        <v>0</v>
      </c>
      <c r="CL105" s="13">
        <f t="shared" si="31"/>
        <v>0</v>
      </c>
      <c r="CM105" s="13">
        <f t="shared" si="32"/>
        <v>0</v>
      </c>
      <c r="CO105" s="14">
        <f t="shared" si="29"/>
        <v>0</v>
      </c>
      <c r="CP105" s="8">
        <f t="shared" si="27"/>
        <v>0</v>
      </c>
      <c r="CQ105" s="13">
        <f t="shared" si="33"/>
        <v>0</v>
      </c>
      <c r="CR105" s="17" t="str">
        <f t="shared" si="28"/>
        <v>nenhuma</v>
      </c>
      <c r="CS105" s="13">
        <f t="shared" si="34"/>
        <v>0</v>
      </c>
    </row>
    <row r="106" spans="1:97" x14ac:dyDescent="0.25">
      <c r="A106" s="7">
        <v>102</v>
      </c>
      <c r="B106" s="41"/>
      <c r="C106" s="41"/>
      <c r="D106" s="41"/>
      <c r="E106" s="41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P106" s="10">
        <f t="shared" si="21"/>
        <v>0</v>
      </c>
      <c r="BR106" s="11">
        <v>0</v>
      </c>
      <c r="BS106" s="12"/>
      <c r="BT106" s="15"/>
      <c r="BU106" s="12"/>
      <c r="BV106" s="13">
        <f t="shared" si="22"/>
        <v>0</v>
      </c>
      <c r="BX106" s="14"/>
      <c r="BY106" s="8"/>
      <c r="BZ106" s="13">
        <f t="shared" si="23"/>
        <v>0</v>
      </c>
      <c r="CB106" s="15"/>
      <c r="CD106" s="8"/>
      <c r="CE106" s="13">
        <f t="shared" si="24"/>
        <v>0</v>
      </c>
      <c r="CG106" s="9"/>
      <c r="CH106" s="13">
        <f t="shared" si="25"/>
        <v>0</v>
      </c>
      <c r="CI106" s="16">
        <f t="shared" si="26"/>
        <v>0</v>
      </c>
      <c r="CK106" s="8">
        <f t="shared" si="30"/>
        <v>0</v>
      </c>
      <c r="CL106" s="13">
        <f t="shared" si="31"/>
        <v>0</v>
      </c>
      <c r="CM106" s="13">
        <f t="shared" si="32"/>
        <v>0</v>
      </c>
      <c r="CO106" s="14">
        <f t="shared" si="29"/>
        <v>0</v>
      </c>
      <c r="CP106" s="8">
        <f t="shared" si="27"/>
        <v>0</v>
      </c>
      <c r="CQ106" s="13">
        <f t="shared" si="33"/>
        <v>0</v>
      </c>
      <c r="CR106" s="17" t="str">
        <f t="shared" si="28"/>
        <v>nenhuma</v>
      </c>
      <c r="CS106" s="13">
        <f t="shared" si="34"/>
        <v>0</v>
      </c>
    </row>
    <row r="107" spans="1:97" x14ac:dyDescent="0.25">
      <c r="A107" s="7">
        <v>103</v>
      </c>
      <c r="B107" s="41"/>
      <c r="C107" s="41"/>
      <c r="D107" s="41"/>
      <c r="E107" s="41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P107" s="10">
        <f t="shared" si="21"/>
        <v>0</v>
      </c>
      <c r="BR107" s="11">
        <v>0</v>
      </c>
      <c r="BS107" s="12"/>
      <c r="BT107" s="15"/>
      <c r="BU107" s="12"/>
      <c r="BV107" s="13">
        <f t="shared" si="22"/>
        <v>0</v>
      </c>
      <c r="BX107" s="14"/>
      <c r="BY107" s="8"/>
      <c r="BZ107" s="13">
        <f t="shared" si="23"/>
        <v>0</v>
      </c>
      <c r="CB107" s="15"/>
      <c r="CD107" s="8"/>
      <c r="CE107" s="13">
        <f t="shared" si="24"/>
        <v>0</v>
      </c>
      <c r="CG107" s="9"/>
      <c r="CH107" s="13">
        <f t="shared" si="25"/>
        <v>0</v>
      </c>
      <c r="CI107" s="16">
        <f t="shared" si="26"/>
        <v>0</v>
      </c>
      <c r="CK107" s="8">
        <f t="shared" si="30"/>
        <v>0</v>
      </c>
      <c r="CL107" s="13">
        <f t="shared" si="31"/>
        <v>0</v>
      </c>
      <c r="CM107" s="13">
        <f t="shared" si="32"/>
        <v>0</v>
      </c>
      <c r="CO107" s="14">
        <f t="shared" si="29"/>
        <v>0</v>
      </c>
      <c r="CP107" s="8">
        <f t="shared" si="27"/>
        <v>0</v>
      </c>
      <c r="CQ107" s="13">
        <f t="shared" si="33"/>
        <v>0</v>
      </c>
      <c r="CR107" s="17" t="str">
        <f t="shared" si="28"/>
        <v>nenhuma</v>
      </c>
      <c r="CS107" s="13">
        <f t="shared" si="34"/>
        <v>0</v>
      </c>
    </row>
    <row r="108" spans="1:97" x14ac:dyDescent="0.25">
      <c r="A108" s="7">
        <v>104</v>
      </c>
      <c r="B108" s="41"/>
      <c r="C108" s="41"/>
      <c r="D108" s="41"/>
      <c r="E108" s="41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P108" s="10">
        <f t="shared" si="21"/>
        <v>0</v>
      </c>
      <c r="BR108" s="11">
        <v>0</v>
      </c>
      <c r="BS108" s="12"/>
      <c r="BT108" s="15"/>
      <c r="BU108" s="12"/>
      <c r="BV108" s="13">
        <f t="shared" si="22"/>
        <v>0</v>
      </c>
      <c r="BX108" s="14"/>
      <c r="BY108" s="8"/>
      <c r="BZ108" s="13">
        <f t="shared" si="23"/>
        <v>0</v>
      </c>
      <c r="CB108" s="15"/>
      <c r="CD108" s="8"/>
      <c r="CE108" s="13">
        <f t="shared" si="24"/>
        <v>0</v>
      </c>
      <c r="CG108" s="9"/>
      <c r="CH108" s="13">
        <f t="shared" si="25"/>
        <v>0</v>
      </c>
      <c r="CI108" s="16">
        <f t="shared" si="26"/>
        <v>0</v>
      </c>
      <c r="CK108" s="8">
        <f t="shared" si="30"/>
        <v>0</v>
      </c>
      <c r="CL108" s="13">
        <f t="shared" si="31"/>
        <v>0</v>
      </c>
      <c r="CM108" s="13">
        <f t="shared" si="32"/>
        <v>0</v>
      </c>
      <c r="CO108" s="14">
        <f t="shared" si="29"/>
        <v>0</v>
      </c>
      <c r="CP108" s="8">
        <f t="shared" si="27"/>
        <v>0</v>
      </c>
      <c r="CQ108" s="13">
        <f t="shared" si="33"/>
        <v>0</v>
      </c>
      <c r="CR108" s="17" t="str">
        <f t="shared" si="28"/>
        <v>nenhuma</v>
      </c>
      <c r="CS108" s="13">
        <f t="shared" si="34"/>
        <v>0</v>
      </c>
    </row>
    <row r="109" spans="1:97" x14ac:dyDescent="0.25">
      <c r="A109" s="7">
        <v>105</v>
      </c>
      <c r="B109" s="41"/>
      <c r="C109" s="41"/>
      <c r="D109" s="41"/>
      <c r="E109" s="41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P109" s="10">
        <f t="shared" si="21"/>
        <v>0</v>
      </c>
      <c r="BR109" s="11">
        <v>0</v>
      </c>
      <c r="BS109" s="12"/>
      <c r="BT109" s="15"/>
      <c r="BU109" s="12"/>
      <c r="BV109" s="13">
        <f t="shared" si="22"/>
        <v>0</v>
      </c>
      <c r="BX109" s="14"/>
      <c r="BY109" s="8"/>
      <c r="BZ109" s="13">
        <f t="shared" si="23"/>
        <v>0</v>
      </c>
      <c r="CB109" s="15"/>
      <c r="CD109" s="8"/>
      <c r="CE109" s="13">
        <f t="shared" si="24"/>
        <v>0</v>
      </c>
      <c r="CG109" s="9"/>
      <c r="CH109" s="13">
        <f t="shared" si="25"/>
        <v>0</v>
      </c>
      <c r="CI109" s="16">
        <f t="shared" si="26"/>
        <v>0</v>
      </c>
      <c r="CK109" s="8">
        <f t="shared" si="30"/>
        <v>0</v>
      </c>
      <c r="CL109" s="13">
        <f t="shared" si="31"/>
        <v>0</v>
      </c>
      <c r="CM109" s="13">
        <f t="shared" si="32"/>
        <v>0</v>
      </c>
      <c r="CO109" s="14">
        <f t="shared" si="29"/>
        <v>0</v>
      </c>
      <c r="CP109" s="8">
        <f t="shared" si="27"/>
        <v>0</v>
      </c>
      <c r="CQ109" s="13">
        <f t="shared" si="33"/>
        <v>0</v>
      </c>
      <c r="CR109" s="17" t="str">
        <f t="shared" si="28"/>
        <v>nenhuma</v>
      </c>
      <c r="CS109" s="13">
        <f t="shared" si="34"/>
        <v>0</v>
      </c>
    </row>
    <row r="110" spans="1:97" x14ac:dyDescent="0.25">
      <c r="A110" s="7">
        <v>106</v>
      </c>
      <c r="B110" s="41"/>
      <c r="C110" s="41"/>
      <c r="D110" s="41"/>
      <c r="E110" s="41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P110" s="10">
        <f t="shared" si="21"/>
        <v>0</v>
      </c>
      <c r="BR110" s="11">
        <v>0</v>
      </c>
      <c r="BS110" s="12"/>
      <c r="BT110" s="15"/>
      <c r="BU110" s="12"/>
      <c r="BV110" s="13">
        <f t="shared" si="22"/>
        <v>0</v>
      </c>
      <c r="BX110" s="14"/>
      <c r="BY110" s="8"/>
      <c r="BZ110" s="13">
        <f t="shared" si="23"/>
        <v>0</v>
      </c>
      <c r="CB110" s="15"/>
      <c r="CD110" s="8"/>
      <c r="CE110" s="13">
        <f t="shared" si="24"/>
        <v>0</v>
      </c>
      <c r="CG110" s="9"/>
      <c r="CH110" s="13">
        <f t="shared" si="25"/>
        <v>0</v>
      </c>
      <c r="CI110" s="16">
        <f t="shared" si="26"/>
        <v>0</v>
      </c>
      <c r="CK110" s="8">
        <f t="shared" si="30"/>
        <v>0</v>
      </c>
      <c r="CL110" s="13">
        <f t="shared" si="31"/>
        <v>0</v>
      </c>
      <c r="CM110" s="13">
        <f t="shared" si="32"/>
        <v>0</v>
      </c>
      <c r="CO110" s="14">
        <f t="shared" si="29"/>
        <v>0</v>
      </c>
      <c r="CP110" s="8">
        <f t="shared" si="27"/>
        <v>0</v>
      </c>
      <c r="CQ110" s="13">
        <f t="shared" si="33"/>
        <v>0</v>
      </c>
      <c r="CR110" s="17" t="str">
        <f t="shared" si="28"/>
        <v>nenhuma</v>
      </c>
      <c r="CS110" s="13">
        <f t="shared" si="34"/>
        <v>0</v>
      </c>
    </row>
    <row r="111" spans="1:97" x14ac:dyDescent="0.25">
      <c r="A111" s="7">
        <v>107</v>
      </c>
      <c r="B111" s="41"/>
      <c r="C111" s="41"/>
      <c r="D111" s="41"/>
      <c r="E111" s="41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P111" s="10">
        <f t="shared" si="21"/>
        <v>0</v>
      </c>
      <c r="BR111" s="11">
        <v>0</v>
      </c>
      <c r="BS111" s="12"/>
      <c r="BT111" s="15"/>
      <c r="BU111" s="12"/>
      <c r="BV111" s="13">
        <f t="shared" si="22"/>
        <v>0</v>
      </c>
      <c r="BX111" s="14"/>
      <c r="BY111" s="8"/>
      <c r="BZ111" s="13">
        <f t="shared" si="23"/>
        <v>0</v>
      </c>
      <c r="CB111" s="15"/>
      <c r="CD111" s="8"/>
      <c r="CE111" s="13">
        <f t="shared" si="24"/>
        <v>0</v>
      </c>
      <c r="CG111" s="9"/>
      <c r="CH111" s="13">
        <f t="shared" si="25"/>
        <v>0</v>
      </c>
      <c r="CI111" s="16">
        <f t="shared" si="26"/>
        <v>0</v>
      </c>
      <c r="CK111" s="8">
        <f t="shared" si="30"/>
        <v>0</v>
      </c>
      <c r="CL111" s="13">
        <f t="shared" si="31"/>
        <v>0</v>
      </c>
      <c r="CM111" s="13">
        <f t="shared" si="32"/>
        <v>0</v>
      </c>
      <c r="CO111" s="14">
        <f t="shared" si="29"/>
        <v>0</v>
      </c>
      <c r="CP111" s="8">
        <f t="shared" si="27"/>
        <v>0</v>
      </c>
      <c r="CQ111" s="13">
        <f t="shared" si="33"/>
        <v>0</v>
      </c>
      <c r="CR111" s="17" t="str">
        <f t="shared" si="28"/>
        <v>nenhuma</v>
      </c>
      <c r="CS111" s="13">
        <f t="shared" si="34"/>
        <v>0</v>
      </c>
    </row>
    <row r="112" spans="1:97" x14ac:dyDescent="0.25">
      <c r="A112" s="7">
        <v>108</v>
      </c>
      <c r="B112" s="41"/>
      <c r="C112" s="41"/>
      <c r="D112" s="41"/>
      <c r="E112" s="41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P112" s="10">
        <f t="shared" si="21"/>
        <v>0</v>
      </c>
      <c r="BR112" s="11">
        <v>0</v>
      </c>
      <c r="BS112" s="12"/>
      <c r="BT112" s="15"/>
      <c r="BU112" s="12"/>
      <c r="BV112" s="13">
        <f t="shared" si="22"/>
        <v>0</v>
      </c>
      <c r="BX112" s="14"/>
      <c r="BY112" s="8"/>
      <c r="BZ112" s="13">
        <f t="shared" si="23"/>
        <v>0</v>
      </c>
      <c r="CB112" s="15"/>
      <c r="CD112" s="8"/>
      <c r="CE112" s="13">
        <f t="shared" si="24"/>
        <v>0</v>
      </c>
      <c r="CG112" s="9"/>
      <c r="CH112" s="13">
        <f t="shared" si="25"/>
        <v>0</v>
      </c>
      <c r="CI112" s="16">
        <f t="shared" si="26"/>
        <v>0</v>
      </c>
      <c r="CK112" s="8">
        <f t="shared" si="30"/>
        <v>0</v>
      </c>
      <c r="CL112" s="13">
        <f t="shared" si="31"/>
        <v>0</v>
      </c>
      <c r="CM112" s="13">
        <f t="shared" si="32"/>
        <v>0</v>
      </c>
      <c r="CO112" s="14">
        <f t="shared" si="29"/>
        <v>0</v>
      </c>
      <c r="CP112" s="8">
        <f t="shared" si="27"/>
        <v>0</v>
      </c>
      <c r="CQ112" s="13">
        <f t="shared" si="33"/>
        <v>0</v>
      </c>
      <c r="CR112" s="17" t="str">
        <f t="shared" si="28"/>
        <v>nenhuma</v>
      </c>
      <c r="CS112" s="13">
        <f t="shared" si="34"/>
        <v>0</v>
      </c>
    </row>
    <row r="113" spans="1:97" x14ac:dyDescent="0.25">
      <c r="A113" s="7">
        <v>109</v>
      </c>
      <c r="B113" s="41"/>
      <c r="C113" s="41"/>
      <c r="D113" s="41"/>
      <c r="E113" s="41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P113" s="10">
        <f t="shared" si="21"/>
        <v>0</v>
      </c>
      <c r="BR113" s="11">
        <v>0</v>
      </c>
      <c r="BS113" s="12"/>
      <c r="BT113" s="15"/>
      <c r="BU113" s="12"/>
      <c r="BV113" s="13">
        <f t="shared" si="22"/>
        <v>0</v>
      </c>
      <c r="BX113" s="14"/>
      <c r="BY113" s="8"/>
      <c r="BZ113" s="13">
        <f t="shared" si="23"/>
        <v>0</v>
      </c>
      <c r="CB113" s="15"/>
      <c r="CD113" s="8"/>
      <c r="CE113" s="13">
        <f t="shared" si="24"/>
        <v>0</v>
      </c>
      <c r="CG113" s="9"/>
      <c r="CH113" s="13">
        <f t="shared" si="25"/>
        <v>0</v>
      </c>
      <c r="CI113" s="16">
        <f t="shared" si="26"/>
        <v>0</v>
      </c>
      <c r="CK113" s="8">
        <f t="shared" si="30"/>
        <v>0</v>
      </c>
      <c r="CL113" s="13">
        <f t="shared" si="31"/>
        <v>0</v>
      </c>
      <c r="CM113" s="13">
        <f t="shared" si="32"/>
        <v>0</v>
      </c>
      <c r="CO113" s="14">
        <f t="shared" si="29"/>
        <v>0</v>
      </c>
      <c r="CP113" s="8">
        <f t="shared" si="27"/>
        <v>0</v>
      </c>
      <c r="CQ113" s="13">
        <f t="shared" si="33"/>
        <v>0</v>
      </c>
      <c r="CR113" s="17" t="str">
        <f t="shared" si="28"/>
        <v>nenhuma</v>
      </c>
      <c r="CS113" s="13">
        <f t="shared" si="34"/>
        <v>0</v>
      </c>
    </row>
    <row r="114" spans="1:97" x14ac:dyDescent="0.25">
      <c r="A114" s="7">
        <v>110</v>
      </c>
      <c r="B114" s="41"/>
      <c r="C114" s="41"/>
      <c r="D114" s="41"/>
      <c r="E114" s="41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P114" s="10">
        <f t="shared" si="21"/>
        <v>0</v>
      </c>
      <c r="BR114" s="11">
        <v>0</v>
      </c>
      <c r="BS114" s="12"/>
      <c r="BT114" s="15"/>
      <c r="BU114" s="12"/>
      <c r="BV114" s="13">
        <f t="shared" si="22"/>
        <v>0</v>
      </c>
      <c r="BX114" s="14"/>
      <c r="BY114" s="8"/>
      <c r="BZ114" s="13">
        <f t="shared" si="23"/>
        <v>0</v>
      </c>
      <c r="CB114" s="15"/>
      <c r="CD114" s="8"/>
      <c r="CE114" s="13">
        <f t="shared" si="24"/>
        <v>0</v>
      </c>
      <c r="CG114" s="9"/>
      <c r="CH114" s="13">
        <f t="shared" si="25"/>
        <v>0</v>
      </c>
      <c r="CI114" s="16">
        <f t="shared" si="26"/>
        <v>0</v>
      </c>
      <c r="CK114" s="8">
        <f t="shared" si="30"/>
        <v>0</v>
      </c>
      <c r="CL114" s="13">
        <f t="shared" si="31"/>
        <v>0</v>
      </c>
      <c r="CM114" s="13">
        <f t="shared" si="32"/>
        <v>0</v>
      </c>
      <c r="CO114" s="14">
        <f t="shared" si="29"/>
        <v>0</v>
      </c>
      <c r="CP114" s="8">
        <f t="shared" si="27"/>
        <v>0</v>
      </c>
      <c r="CQ114" s="13">
        <f t="shared" si="33"/>
        <v>0</v>
      </c>
      <c r="CR114" s="17" t="str">
        <f t="shared" si="28"/>
        <v>nenhuma</v>
      </c>
      <c r="CS114" s="13">
        <f t="shared" si="34"/>
        <v>0</v>
      </c>
    </row>
    <row r="115" spans="1:97" x14ac:dyDescent="0.25">
      <c r="A115" s="7">
        <v>111</v>
      </c>
      <c r="B115" s="41"/>
      <c r="C115" s="41"/>
      <c r="D115" s="41"/>
      <c r="E115" s="41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P115" s="10">
        <f t="shared" si="21"/>
        <v>0</v>
      </c>
      <c r="BR115" s="11">
        <v>0</v>
      </c>
      <c r="BS115" s="12"/>
      <c r="BT115" s="15"/>
      <c r="BU115" s="12"/>
      <c r="BV115" s="13">
        <f t="shared" si="22"/>
        <v>0</v>
      </c>
      <c r="BX115" s="14"/>
      <c r="BY115" s="8"/>
      <c r="BZ115" s="13">
        <f t="shared" si="23"/>
        <v>0</v>
      </c>
      <c r="CB115" s="15"/>
      <c r="CD115" s="8"/>
      <c r="CE115" s="13">
        <f t="shared" si="24"/>
        <v>0</v>
      </c>
      <c r="CG115" s="9"/>
      <c r="CH115" s="13">
        <f t="shared" si="25"/>
        <v>0</v>
      </c>
      <c r="CI115" s="16">
        <f t="shared" si="26"/>
        <v>0</v>
      </c>
      <c r="CK115" s="8">
        <f t="shared" si="30"/>
        <v>0</v>
      </c>
      <c r="CL115" s="13">
        <f t="shared" si="31"/>
        <v>0</v>
      </c>
      <c r="CM115" s="13">
        <f t="shared" si="32"/>
        <v>0</v>
      </c>
      <c r="CO115" s="14">
        <f t="shared" si="29"/>
        <v>0</v>
      </c>
      <c r="CP115" s="8">
        <f t="shared" si="27"/>
        <v>0</v>
      </c>
      <c r="CQ115" s="13">
        <f t="shared" si="33"/>
        <v>0</v>
      </c>
      <c r="CR115" s="17" t="str">
        <f t="shared" si="28"/>
        <v>nenhuma</v>
      </c>
      <c r="CS115" s="13">
        <f t="shared" si="34"/>
        <v>0</v>
      </c>
    </row>
    <row r="116" spans="1:97" x14ac:dyDescent="0.25">
      <c r="A116" s="7">
        <v>112</v>
      </c>
      <c r="B116" s="41"/>
      <c r="C116" s="41"/>
      <c r="D116" s="41"/>
      <c r="E116" s="41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P116" s="10">
        <f t="shared" si="21"/>
        <v>0</v>
      </c>
      <c r="BR116" s="11">
        <v>0</v>
      </c>
      <c r="BS116" s="12"/>
      <c r="BT116" s="15"/>
      <c r="BU116" s="12"/>
      <c r="BV116" s="13">
        <f t="shared" si="22"/>
        <v>0</v>
      </c>
      <c r="BX116" s="14"/>
      <c r="BY116" s="8"/>
      <c r="BZ116" s="13">
        <f t="shared" si="23"/>
        <v>0</v>
      </c>
      <c r="CB116" s="15"/>
      <c r="CD116" s="8"/>
      <c r="CE116" s="13">
        <f t="shared" si="24"/>
        <v>0</v>
      </c>
      <c r="CG116" s="9"/>
      <c r="CH116" s="13">
        <f t="shared" si="25"/>
        <v>0</v>
      </c>
      <c r="CI116" s="16">
        <f t="shared" si="26"/>
        <v>0</v>
      </c>
      <c r="CK116" s="8">
        <f t="shared" si="30"/>
        <v>0</v>
      </c>
      <c r="CL116" s="13">
        <f t="shared" si="31"/>
        <v>0</v>
      </c>
      <c r="CM116" s="13">
        <f t="shared" si="32"/>
        <v>0</v>
      </c>
      <c r="CO116" s="14">
        <f t="shared" si="29"/>
        <v>0</v>
      </c>
      <c r="CP116" s="8">
        <f t="shared" si="27"/>
        <v>0</v>
      </c>
      <c r="CQ116" s="13">
        <f t="shared" si="33"/>
        <v>0</v>
      </c>
      <c r="CR116" s="17" t="str">
        <f t="shared" si="28"/>
        <v>nenhuma</v>
      </c>
      <c r="CS116" s="13">
        <f t="shared" si="34"/>
        <v>0</v>
      </c>
    </row>
    <row r="117" spans="1:97" x14ac:dyDescent="0.25">
      <c r="A117" s="7">
        <v>113</v>
      </c>
      <c r="B117" s="41"/>
      <c r="C117" s="41"/>
      <c r="D117" s="41"/>
      <c r="E117" s="41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P117" s="10">
        <f t="shared" si="21"/>
        <v>0</v>
      </c>
      <c r="BR117" s="11">
        <v>0</v>
      </c>
      <c r="BS117" s="12"/>
      <c r="BT117" s="15"/>
      <c r="BU117" s="12"/>
      <c r="BV117" s="13">
        <f t="shared" si="22"/>
        <v>0</v>
      </c>
      <c r="BX117" s="14"/>
      <c r="BY117" s="8"/>
      <c r="BZ117" s="13">
        <f t="shared" si="23"/>
        <v>0</v>
      </c>
      <c r="CB117" s="15"/>
      <c r="CD117" s="8"/>
      <c r="CE117" s="13">
        <f t="shared" si="24"/>
        <v>0</v>
      </c>
      <c r="CG117" s="9"/>
      <c r="CH117" s="13">
        <f t="shared" si="25"/>
        <v>0</v>
      </c>
      <c r="CI117" s="16">
        <f t="shared" si="26"/>
        <v>0</v>
      </c>
      <c r="CK117" s="8">
        <f t="shared" si="30"/>
        <v>0</v>
      </c>
      <c r="CL117" s="13">
        <f t="shared" si="31"/>
        <v>0</v>
      </c>
      <c r="CM117" s="13">
        <f t="shared" si="32"/>
        <v>0</v>
      </c>
      <c r="CO117" s="14">
        <f t="shared" si="29"/>
        <v>0</v>
      </c>
      <c r="CP117" s="8">
        <f t="shared" si="27"/>
        <v>0</v>
      </c>
      <c r="CQ117" s="13">
        <f t="shared" si="33"/>
        <v>0</v>
      </c>
      <c r="CR117" s="17" t="str">
        <f t="shared" si="28"/>
        <v>nenhuma</v>
      </c>
      <c r="CS117" s="13">
        <f t="shared" si="34"/>
        <v>0</v>
      </c>
    </row>
    <row r="118" spans="1:97" x14ac:dyDescent="0.25">
      <c r="A118" s="7">
        <v>114</v>
      </c>
      <c r="B118" s="41"/>
      <c r="C118" s="41"/>
      <c r="D118" s="41"/>
      <c r="E118" s="41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P118" s="10">
        <f t="shared" si="21"/>
        <v>0</v>
      </c>
      <c r="BR118" s="11">
        <v>0</v>
      </c>
      <c r="BT118" s="15"/>
      <c r="BV118" s="13">
        <f t="shared" si="22"/>
        <v>0</v>
      </c>
      <c r="BX118" s="14"/>
      <c r="BY118" s="8"/>
      <c r="BZ118" s="13">
        <f t="shared" si="23"/>
        <v>0</v>
      </c>
      <c r="CB118" s="15"/>
      <c r="CD118" s="8"/>
      <c r="CE118" s="13">
        <f t="shared" si="24"/>
        <v>0</v>
      </c>
      <c r="CG118" s="9"/>
      <c r="CH118" s="13">
        <f t="shared" si="25"/>
        <v>0</v>
      </c>
      <c r="CI118" s="16">
        <f t="shared" si="26"/>
        <v>0</v>
      </c>
      <c r="CK118" s="8">
        <f t="shared" si="30"/>
        <v>0</v>
      </c>
      <c r="CL118" s="13">
        <f t="shared" si="31"/>
        <v>0</v>
      </c>
      <c r="CM118" s="13">
        <f t="shared" si="32"/>
        <v>0</v>
      </c>
      <c r="CO118" s="14">
        <f t="shared" si="29"/>
        <v>0</v>
      </c>
      <c r="CP118" s="8">
        <f t="shared" si="27"/>
        <v>0</v>
      </c>
      <c r="CQ118" s="13">
        <f t="shared" si="33"/>
        <v>0</v>
      </c>
      <c r="CR118" s="17" t="str">
        <f t="shared" si="28"/>
        <v>nenhuma</v>
      </c>
      <c r="CS118" s="13">
        <f t="shared" si="34"/>
        <v>0</v>
      </c>
    </row>
    <row r="119" spans="1:97" x14ac:dyDescent="0.25">
      <c r="A119" s="7">
        <v>115</v>
      </c>
      <c r="B119" s="41"/>
      <c r="C119" s="41"/>
      <c r="D119" s="41"/>
      <c r="E119" s="41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P119" s="10">
        <f t="shared" si="21"/>
        <v>0</v>
      </c>
      <c r="BR119" s="11">
        <v>0</v>
      </c>
      <c r="BT119" s="15"/>
      <c r="BV119" s="13">
        <f t="shared" si="22"/>
        <v>0</v>
      </c>
      <c r="BX119" s="14"/>
      <c r="BY119" s="8"/>
      <c r="BZ119" s="13">
        <f t="shared" si="23"/>
        <v>0</v>
      </c>
      <c r="CB119" s="15"/>
      <c r="CD119" s="8"/>
      <c r="CE119" s="13">
        <f t="shared" si="24"/>
        <v>0</v>
      </c>
      <c r="CG119" s="9"/>
      <c r="CH119" s="13">
        <f t="shared" si="25"/>
        <v>0</v>
      </c>
      <c r="CI119" s="16">
        <f t="shared" si="26"/>
        <v>0</v>
      </c>
      <c r="CK119" s="8">
        <f t="shared" si="30"/>
        <v>0</v>
      </c>
      <c r="CL119" s="13">
        <f t="shared" si="31"/>
        <v>0</v>
      </c>
      <c r="CM119" s="13">
        <f t="shared" si="32"/>
        <v>0</v>
      </c>
      <c r="CO119" s="14">
        <f t="shared" si="29"/>
        <v>0</v>
      </c>
      <c r="CP119" s="8">
        <f t="shared" si="27"/>
        <v>0</v>
      </c>
      <c r="CQ119" s="13">
        <f t="shared" si="33"/>
        <v>0</v>
      </c>
      <c r="CR119" s="17" t="str">
        <f t="shared" si="28"/>
        <v>nenhuma</v>
      </c>
      <c r="CS119" s="13">
        <f t="shared" si="34"/>
        <v>0</v>
      </c>
    </row>
    <row r="120" spans="1:97" x14ac:dyDescent="0.25">
      <c r="A120" s="7">
        <v>116</v>
      </c>
      <c r="B120" s="41"/>
      <c r="C120" s="41"/>
      <c r="D120" s="41"/>
      <c r="E120" s="41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P120" s="10">
        <f t="shared" si="21"/>
        <v>0</v>
      </c>
      <c r="BR120" s="11">
        <v>0</v>
      </c>
      <c r="BT120" s="15"/>
      <c r="BV120" s="13">
        <f t="shared" si="22"/>
        <v>0</v>
      </c>
      <c r="BX120" s="14"/>
      <c r="BY120" s="8"/>
      <c r="BZ120" s="13">
        <f t="shared" si="23"/>
        <v>0</v>
      </c>
      <c r="CB120" s="15"/>
      <c r="CD120" s="8"/>
      <c r="CE120" s="13">
        <f t="shared" si="24"/>
        <v>0</v>
      </c>
      <c r="CG120" s="9"/>
      <c r="CH120" s="13">
        <f t="shared" si="25"/>
        <v>0</v>
      </c>
      <c r="CI120" s="16">
        <f t="shared" si="26"/>
        <v>0</v>
      </c>
      <c r="CK120" s="8">
        <f t="shared" si="30"/>
        <v>0</v>
      </c>
      <c r="CL120" s="13">
        <f t="shared" si="31"/>
        <v>0</v>
      </c>
      <c r="CM120" s="13">
        <f t="shared" si="32"/>
        <v>0</v>
      </c>
      <c r="CO120" s="14">
        <f t="shared" si="29"/>
        <v>0</v>
      </c>
      <c r="CP120" s="8">
        <f t="shared" si="27"/>
        <v>0</v>
      </c>
      <c r="CQ120" s="13">
        <f t="shared" si="33"/>
        <v>0</v>
      </c>
      <c r="CR120" s="17" t="str">
        <f t="shared" si="28"/>
        <v>nenhuma</v>
      </c>
      <c r="CS120" s="13">
        <f t="shared" si="34"/>
        <v>0</v>
      </c>
    </row>
    <row r="121" spans="1:97" x14ac:dyDescent="0.25">
      <c r="A121" s="7">
        <v>117</v>
      </c>
      <c r="B121" s="41"/>
      <c r="C121" s="41"/>
      <c r="D121" s="41"/>
      <c r="E121" s="41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P121" s="10">
        <f t="shared" si="21"/>
        <v>0</v>
      </c>
      <c r="BR121" s="11">
        <v>0</v>
      </c>
      <c r="BT121" s="15"/>
      <c r="BV121" s="13">
        <f t="shared" si="22"/>
        <v>0</v>
      </c>
      <c r="BX121" s="14"/>
      <c r="BY121" s="8"/>
      <c r="BZ121" s="13">
        <f t="shared" si="23"/>
        <v>0</v>
      </c>
      <c r="CB121" s="15"/>
      <c r="CD121" s="8"/>
      <c r="CE121" s="13">
        <f t="shared" si="24"/>
        <v>0</v>
      </c>
      <c r="CG121" s="9"/>
      <c r="CH121" s="13">
        <f t="shared" si="25"/>
        <v>0</v>
      </c>
      <c r="CI121" s="16">
        <f t="shared" si="26"/>
        <v>0</v>
      </c>
      <c r="CK121" s="8">
        <f t="shared" si="30"/>
        <v>0</v>
      </c>
      <c r="CL121" s="13">
        <f t="shared" si="31"/>
        <v>0</v>
      </c>
      <c r="CM121" s="13">
        <f t="shared" si="32"/>
        <v>0</v>
      </c>
      <c r="CO121" s="14">
        <f t="shared" si="29"/>
        <v>0</v>
      </c>
      <c r="CP121" s="8">
        <f t="shared" si="27"/>
        <v>0</v>
      </c>
      <c r="CQ121" s="13">
        <f t="shared" si="33"/>
        <v>0</v>
      </c>
      <c r="CR121" s="17" t="str">
        <f t="shared" si="28"/>
        <v>nenhuma</v>
      </c>
      <c r="CS121" s="13">
        <f t="shared" si="34"/>
        <v>0</v>
      </c>
    </row>
    <row r="122" spans="1:97" x14ac:dyDescent="0.25">
      <c r="A122" s="7">
        <v>118</v>
      </c>
      <c r="B122" s="41"/>
      <c r="C122" s="41"/>
      <c r="D122" s="41"/>
      <c r="E122" s="41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P122" s="10">
        <f t="shared" si="21"/>
        <v>0</v>
      </c>
      <c r="BR122" s="11">
        <v>0</v>
      </c>
      <c r="BT122" s="15"/>
      <c r="BV122" s="13">
        <f t="shared" si="22"/>
        <v>0</v>
      </c>
      <c r="BX122" s="14"/>
      <c r="BY122" s="8"/>
      <c r="BZ122" s="13">
        <f t="shared" si="23"/>
        <v>0</v>
      </c>
      <c r="CB122" s="15"/>
      <c r="CD122" s="8"/>
      <c r="CE122" s="13">
        <f t="shared" si="24"/>
        <v>0</v>
      </c>
      <c r="CG122" s="9"/>
      <c r="CH122" s="13">
        <f t="shared" si="25"/>
        <v>0</v>
      </c>
      <c r="CI122" s="16">
        <f t="shared" si="26"/>
        <v>0</v>
      </c>
      <c r="CK122" s="8">
        <f t="shared" si="30"/>
        <v>0</v>
      </c>
      <c r="CL122" s="13">
        <f t="shared" si="31"/>
        <v>0</v>
      </c>
      <c r="CM122" s="13">
        <f t="shared" si="32"/>
        <v>0</v>
      </c>
      <c r="CO122" s="14">
        <f t="shared" si="29"/>
        <v>0</v>
      </c>
      <c r="CP122" s="8">
        <f t="shared" si="27"/>
        <v>0</v>
      </c>
      <c r="CQ122" s="13">
        <f t="shared" si="33"/>
        <v>0</v>
      </c>
      <c r="CR122" s="17" t="str">
        <f t="shared" si="28"/>
        <v>nenhuma</v>
      </c>
      <c r="CS122" s="13">
        <f t="shared" si="34"/>
        <v>0</v>
      </c>
    </row>
    <row r="123" spans="1:97" x14ac:dyDescent="0.25">
      <c r="A123" s="7">
        <v>119</v>
      </c>
      <c r="B123" s="41"/>
      <c r="C123" s="41"/>
      <c r="D123" s="41"/>
      <c r="E123" s="41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P123" s="10">
        <f t="shared" si="21"/>
        <v>0</v>
      </c>
      <c r="BR123" s="11">
        <v>0</v>
      </c>
      <c r="BT123" s="15"/>
      <c r="BV123" s="13">
        <f t="shared" si="22"/>
        <v>0</v>
      </c>
      <c r="BX123" s="14"/>
      <c r="BY123" s="8"/>
      <c r="BZ123" s="13">
        <f t="shared" si="23"/>
        <v>0</v>
      </c>
      <c r="CB123" s="15"/>
      <c r="CD123" s="8"/>
      <c r="CE123" s="13">
        <f t="shared" si="24"/>
        <v>0</v>
      </c>
      <c r="CG123" s="9"/>
      <c r="CH123" s="13">
        <f t="shared" si="25"/>
        <v>0</v>
      </c>
      <c r="CI123" s="16">
        <f t="shared" si="26"/>
        <v>0</v>
      </c>
      <c r="CK123" s="8">
        <f t="shared" ref="CK123:CK154" si="35">CD123</f>
        <v>0</v>
      </c>
      <c r="CL123" s="13">
        <f t="shared" ref="CL123:CL154" si="36">IF(CK123="","",SUMIF($CB$5:$CB$220,"="&amp;CK123,$CH$5:$CH$220))</f>
        <v>0</v>
      </c>
      <c r="CM123" s="13">
        <f t="shared" ref="CM123:CM154" si="37">IF(CE123&gt;=0,IF(CL123&gt;=0,CE123-CL123,0),0)</f>
        <v>0</v>
      </c>
      <c r="CO123" s="14">
        <f t="shared" si="29"/>
        <v>0</v>
      </c>
      <c r="CP123" s="8">
        <f t="shared" si="27"/>
        <v>0</v>
      </c>
      <c r="CQ123" s="13">
        <f t="shared" ref="CQ123:CQ154" si="38">IF(CO123="","",IF(CP123="",SUMIF($B$5:$B$220,"="&amp;CO123,$CH$5:$CH$220),SUMIFS($CH$5:$CH$220, $B$5:$B$220, "="&amp;CO123, $C$5:$C$220,"="&amp;CP123)))</f>
        <v>0</v>
      </c>
      <c r="CR123" s="17" t="str">
        <f t="shared" si="28"/>
        <v>nenhuma</v>
      </c>
      <c r="CS123" s="13">
        <f t="shared" ref="CS123:CS154" si="39">IF(BZ123&gt;0,IF(CQ123&gt;=0,BZ123-CQ123,0),0)</f>
        <v>0</v>
      </c>
    </row>
    <row r="124" spans="1:97" x14ac:dyDescent="0.25">
      <c r="A124" s="7">
        <v>120</v>
      </c>
      <c r="B124" s="41"/>
      <c r="C124" s="41"/>
      <c r="D124" s="41"/>
      <c r="E124" s="41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P124" s="10">
        <f t="shared" si="21"/>
        <v>0</v>
      </c>
      <c r="BR124" s="11">
        <v>0</v>
      </c>
      <c r="BT124" s="15"/>
      <c r="BV124" s="13">
        <f t="shared" si="22"/>
        <v>0</v>
      </c>
      <c r="BX124" s="14"/>
      <c r="BY124" s="8"/>
      <c r="BZ124" s="13">
        <f t="shared" si="23"/>
        <v>0</v>
      </c>
      <c r="CB124" s="15"/>
      <c r="CD124" s="8"/>
      <c r="CE124" s="13">
        <f t="shared" si="24"/>
        <v>0</v>
      </c>
      <c r="CG124" s="9"/>
      <c r="CH124" s="13">
        <f t="shared" si="25"/>
        <v>0</v>
      </c>
      <c r="CI124" s="16">
        <f t="shared" si="26"/>
        <v>0</v>
      </c>
      <c r="CK124" s="8">
        <f t="shared" si="35"/>
        <v>0</v>
      </c>
      <c r="CL124" s="13">
        <f t="shared" si="36"/>
        <v>0</v>
      </c>
      <c r="CM124" s="13">
        <f t="shared" si="37"/>
        <v>0</v>
      </c>
      <c r="CO124" s="14">
        <f t="shared" si="29"/>
        <v>0</v>
      </c>
      <c r="CP124" s="8">
        <f t="shared" si="27"/>
        <v>0</v>
      </c>
      <c r="CQ124" s="13">
        <f t="shared" si="38"/>
        <v>0</v>
      </c>
      <c r="CR124" s="17" t="str">
        <f t="shared" si="28"/>
        <v>nenhuma</v>
      </c>
      <c r="CS124" s="13">
        <f t="shared" si="39"/>
        <v>0</v>
      </c>
    </row>
    <row r="125" spans="1:97" x14ac:dyDescent="0.25">
      <c r="A125" s="7">
        <v>121</v>
      </c>
      <c r="B125" s="41"/>
      <c r="C125" s="41"/>
      <c r="D125" s="41"/>
      <c r="E125" s="41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P125" s="10">
        <f t="shared" si="21"/>
        <v>0</v>
      </c>
      <c r="BR125" s="11">
        <v>0</v>
      </c>
      <c r="BT125" s="15"/>
      <c r="BV125" s="13">
        <f t="shared" si="22"/>
        <v>0</v>
      </c>
      <c r="BX125" s="14"/>
      <c r="BY125" s="8"/>
      <c r="BZ125" s="13">
        <f t="shared" si="23"/>
        <v>0</v>
      </c>
      <c r="CB125" s="15"/>
      <c r="CD125" s="8"/>
      <c r="CE125" s="13">
        <f t="shared" si="24"/>
        <v>0</v>
      </c>
      <c r="CG125" s="9"/>
      <c r="CH125" s="13">
        <f t="shared" si="25"/>
        <v>0</v>
      </c>
      <c r="CI125" s="16">
        <f t="shared" si="26"/>
        <v>0</v>
      </c>
      <c r="CK125" s="8">
        <f t="shared" si="35"/>
        <v>0</v>
      </c>
      <c r="CL125" s="13">
        <f t="shared" si="36"/>
        <v>0</v>
      </c>
      <c r="CM125" s="13">
        <f t="shared" si="37"/>
        <v>0</v>
      </c>
      <c r="CO125" s="14">
        <f t="shared" si="29"/>
        <v>0</v>
      </c>
      <c r="CP125" s="8">
        <f t="shared" si="27"/>
        <v>0</v>
      </c>
      <c r="CQ125" s="13">
        <f t="shared" si="38"/>
        <v>0</v>
      </c>
      <c r="CR125" s="17" t="str">
        <f t="shared" si="28"/>
        <v>nenhuma</v>
      </c>
      <c r="CS125" s="13">
        <f t="shared" si="39"/>
        <v>0</v>
      </c>
    </row>
    <row r="126" spans="1:97" x14ac:dyDescent="0.25">
      <c r="A126" s="7">
        <v>122</v>
      </c>
      <c r="B126" s="41"/>
      <c r="C126" s="41"/>
      <c r="D126" s="41"/>
      <c r="E126" s="41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P126" s="10">
        <f t="shared" si="21"/>
        <v>0</v>
      </c>
      <c r="BR126" s="11">
        <v>0</v>
      </c>
      <c r="BT126" s="15"/>
      <c r="BV126" s="13">
        <f t="shared" si="22"/>
        <v>0</v>
      </c>
      <c r="BX126" s="14"/>
      <c r="BY126" s="8"/>
      <c r="BZ126" s="13">
        <f t="shared" si="23"/>
        <v>0</v>
      </c>
      <c r="CB126" s="15"/>
      <c r="CD126" s="8"/>
      <c r="CE126" s="13">
        <f t="shared" si="24"/>
        <v>0</v>
      </c>
      <c r="CG126" s="9"/>
      <c r="CH126" s="13">
        <f t="shared" si="25"/>
        <v>0</v>
      </c>
      <c r="CI126" s="16">
        <f t="shared" si="26"/>
        <v>0</v>
      </c>
      <c r="CK126" s="8">
        <f t="shared" si="35"/>
        <v>0</v>
      </c>
      <c r="CL126" s="13">
        <f t="shared" si="36"/>
        <v>0</v>
      </c>
      <c r="CM126" s="13">
        <f t="shared" si="37"/>
        <v>0</v>
      </c>
      <c r="CO126" s="14">
        <f t="shared" si="29"/>
        <v>0</v>
      </c>
      <c r="CP126" s="8">
        <f t="shared" si="27"/>
        <v>0</v>
      </c>
      <c r="CQ126" s="13">
        <f t="shared" si="38"/>
        <v>0</v>
      </c>
      <c r="CR126" s="17" t="str">
        <f t="shared" si="28"/>
        <v>nenhuma</v>
      </c>
      <c r="CS126" s="13">
        <f t="shared" si="39"/>
        <v>0</v>
      </c>
    </row>
    <row r="127" spans="1:97" x14ac:dyDescent="0.25">
      <c r="A127" s="7">
        <v>123</v>
      </c>
      <c r="B127" s="41"/>
      <c r="C127" s="41"/>
      <c r="D127" s="41"/>
      <c r="E127" s="41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P127" s="10">
        <f t="shared" si="21"/>
        <v>0</v>
      </c>
      <c r="BR127" s="11">
        <v>0</v>
      </c>
      <c r="BT127" s="15"/>
      <c r="BV127" s="13">
        <f t="shared" si="22"/>
        <v>0</v>
      </c>
      <c r="BX127" s="14"/>
      <c r="BY127" s="8"/>
      <c r="BZ127" s="13">
        <f t="shared" si="23"/>
        <v>0</v>
      </c>
      <c r="CB127" s="15"/>
      <c r="CD127" s="8"/>
      <c r="CE127" s="13">
        <f t="shared" si="24"/>
        <v>0</v>
      </c>
      <c r="CG127" s="9"/>
      <c r="CH127" s="13">
        <f t="shared" si="25"/>
        <v>0</v>
      </c>
      <c r="CI127" s="16">
        <f t="shared" si="26"/>
        <v>0</v>
      </c>
      <c r="CK127" s="8">
        <f t="shared" si="35"/>
        <v>0</v>
      </c>
      <c r="CL127" s="13">
        <f t="shared" si="36"/>
        <v>0</v>
      </c>
      <c r="CM127" s="13">
        <f t="shared" si="37"/>
        <v>0</v>
      </c>
      <c r="CO127" s="14">
        <f t="shared" si="29"/>
        <v>0</v>
      </c>
      <c r="CP127" s="8">
        <f t="shared" si="27"/>
        <v>0</v>
      </c>
      <c r="CQ127" s="13">
        <f t="shared" si="38"/>
        <v>0</v>
      </c>
      <c r="CR127" s="17" t="str">
        <f t="shared" si="28"/>
        <v>nenhuma</v>
      </c>
      <c r="CS127" s="13">
        <f t="shared" si="39"/>
        <v>0</v>
      </c>
    </row>
    <row r="128" spans="1:97" x14ac:dyDescent="0.25">
      <c r="A128" s="7">
        <v>124</v>
      </c>
      <c r="B128" s="41"/>
      <c r="C128" s="41"/>
      <c r="D128" s="41"/>
      <c r="E128" s="41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P128" s="10">
        <f t="shared" si="21"/>
        <v>0</v>
      </c>
      <c r="BR128" s="11">
        <v>0</v>
      </c>
      <c r="BT128" s="15"/>
      <c r="BV128" s="13">
        <f t="shared" si="22"/>
        <v>0</v>
      </c>
      <c r="BX128" s="14"/>
      <c r="BY128" s="8"/>
      <c r="BZ128" s="13">
        <f t="shared" si="23"/>
        <v>0</v>
      </c>
      <c r="CB128" s="15"/>
      <c r="CD128" s="8"/>
      <c r="CE128" s="13">
        <f t="shared" si="24"/>
        <v>0</v>
      </c>
      <c r="CG128" s="9"/>
      <c r="CH128" s="13">
        <f t="shared" si="25"/>
        <v>0</v>
      </c>
      <c r="CI128" s="16">
        <f t="shared" si="26"/>
        <v>0</v>
      </c>
      <c r="CK128" s="8">
        <f t="shared" si="35"/>
        <v>0</v>
      </c>
      <c r="CL128" s="13">
        <f t="shared" si="36"/>
        <v>0</v>
      </c>
      <c r="CM128" s="13">
        <f t="shared" si="37"/>
        <v>0</v>
      </c>
      <c r="CO128" s="14">
        <f t="shared" si="29"/>
        <v>0</v>
      </c>
      <c r="CP128" s="8">
        <f t="shared" si="27"/>
        <v>0</v>
      </c>
      <c r="CQ128" s="13">
        <f t="shared" si="38"/>
        <v>0</v>
      </c>
      <c r="CR128" s="17" t="str">
        <f t="shared" si="28"/>
        <v>nenhuma</v>
      </c>
      <c r="CS128" s="13">
        <f t="shared" si="39"/>
        <v>0</v>
      </c>
    </row>
    <row r="129" spans="1:97" x14ac:dyDescent="0.25">
      <c r="A129" s="7">
        <v>125</v>
      </c>
      <c r="B129" s="41"/>
      <c r="C129" s="41"/>
      <c r="D129" s="41"/>
      <c r="E129" s="41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P129" s="10">
        <f t="shared" si="21"/>
        <v>0</v>
      </c>
      <c r="BR129" s="11">
        <v>0</v>
      </c>
      <c r="BT129" s="15"/>
      <c r="BV129" s="13">
        <f t="shared" si="22"/>
        <v>0</v>
      </c>
      <c r="BX129" s="14"/>
      <c r="BY129" s="8"/>
      <c r="BZ129" s="13">
        <f t="shared" si="23"/>
        <v>0</v>
      </c>
      <c r="CB129" s="15"/>
      <c r="CD129" s="8"/>
      <c r="CE129" s="13">
        <f t="shared" si="24"/>
        <v>0</v>
      </c>
      <c r="CG129" s="9"/>
      <c r="CH129" s="13">
        <f t="shared" si="25"/>
        <v>0</v>
      </c>
      <c r="CI129" s="16">
        <f t="shared" si="26"/>
        <v>0</v>
      </c>
      <c r="CK129" s="8">
        <f t="shared" si="35"/>
        <v>0</v>
      </c>
      <c r="CL129" s="13">
        <f t="shared" si="36"/>
        <v>0</v>
      </c>
      <c r="CM129" s="13">
        <f t="shared" si="37"/>
        <v>0</v>
      </c>
      <c r="CO129" s="14">
        <f t="shared" si="29"/>
        <v>0</v>
      </c>
      <c r="CP129" s="8">
        <f t="shared" si="27"/>
        <v>0</v>
      </c>
      <c r="CQ129" s="13">
        <f t="shared" si="38"/>
        <v>0</v>
      </c>
      <c r="CR129" s="17" t="str">
        <f t="shared" si="28"/>
        <v>nenhuma</v>
      </c>
      <c r="CS129" s="13">
        <f t="shared" si="39"/>
        <v>0</v>
      </c>
    </row>
    <row r="130" spans="1:97" x14ac:dyDescent="0.25">
      <c r="A130" s="7">
        <v>126</v>
      </c>
      <c r="B130" s="41"/>
      <c r="C130" s="41"/>
      <c r="D130" s="41"/>
      <c r="E130" s="41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P130" s="10">
        <f t="shared" si="21"/>
        <v>0</v>
      </c>
      <c r="BR130" s="11">
        <v>0</v>
      </c>
      <c r="BT130" s="15"/>
      <c r="BV130" s="13">
        <f t="shared" si="22"/>
        <v>0</v>
      </c>
      <c r="BX130" s="14"/>
      <c r="BY130" s="8"/>
      <c r="BZ130" s="13">
        <f t="shared" si="23"/>
        <v>0</v>
      </c>
      <c r="CB130" s="15"/>
      <c r="CD130" s="8"/>
      <c r="CE130" s="13">
        <f t="shared" si="24"/>
        <v>0</v>
      </c>
      <c r="CG130" s="9"/>
      <c r="CH130" s="13">
        <f t="shared" si="25"/>
        <v>0</v>
      </c>
      <c r="CI130" s="16">
        <f t="shared" si="26"/>
        <v>0</v>
      </c>
      <c r="CK130" s="8">
        <f t="shared" si="35"/>
        <v>0</v>
      </c>
      <c r="CL130" s="13">
        <f t="shared" si="36"/>
        <v>0</v>
      </c>
      <c r="CM130" s="13">
        <f t="shared" si="37"/>
        <v>0</v>
      </c>
      <c r="CO130" s="14">
        <f t="shared" si="29"/>
        <v>0</v>
      </c>
      <c r="CP130" s="8">
        <f t="shared" si="27"/>
        <v>0</v>
      </c>
      <c r="CQ130" s="13">
        <f t="shared" si="38"/>
        <v>0</v>
      </c>
      <c r="CR130" s="17" t="str">
        <f t="shared" si="28"/>
        <v>nenhuma</v>
      </c>
      <c r="CS130" s="13">
        <f t="shared" si="39"/>
        <v>0</v>
      </c>
    </row>
    <row r="131" spans="1:97" x14ac:dyDescent="0.25">
      <c r="A131" s="7">
        <v>127</v>
      </c>
      <c r="B131" s="41"/>
      <c r="C131" s="41"/>
      <c r="D131" s="41"/>
      <c r="E131" s="41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P131" s="10">
        <f t="shared" si="21"/>
        <v>0</v>
      </c>
      <c r="BR131" s="11">
        <v>0</v>
      </c>
      <c r="BT131" s="15"/>
      <c r="BV131" s="13">
        <f t="shared" si="22"/>
        <v>0</v>
      </c>
      <c r="BX131" s="14"/>
      <c r="BY131" s="8"/>
      <c r="BZ131" s="13">
        <f t="shared" si="23"/>
        <v>0</v>
      </c>
      <c r="CB131" s="15"/>
      <c r="CD131" s="8"/>
      <c r="CE131" s="13">
        <f t="shared" si="24"/>
        <v>0</v>
      </c>
      <c r="CG131" s="9"/>
      <c r="CH131" s="13">
        <f t="shared" si="25"/>
        <v>0</v>
      </c>
      <c r="CI131" s="16">
        <f t="shared" si="26"/>
        <v>0</v>
      </c>
      <c r="CK131" s="8">
        <f t="shared" si="35"/>
        <v>0</v>
      </c>
      <c r="CL131" s="13">
        <f t="shared" si="36"/>
        <v>0</v>
      </c>
      <c r="CM131" s="13">
        <f t="shared" si="37"/>
        <v>0</v>
      </c>
      <c r="CO131" s="14">
        <f t="shared" si="29"/>
        <v>0</v>
      </c>
      <c r="CP131" s="8">
        <f t="shared" si="27"/>
        <v>0</v>
      </c>
      <c r="CQ131" s="13">
        <f t="shared" si="38"/>
        <v>0</v>
      </c>
      <c r="CR131" s="17" t="str">
        <f t="shared" si="28"/>
        <v>nenhuma</v>
      </c>
      <c r="CS131" s="13">
        <f t="shared" si="39"/>
        <v>0</v>
      </c>
    </row>
    <row r="132" spans="1:97" x14ac:dyDescent="0.25">
      <c r="A132" s="7">
        <v>128</v>
      </c>
      <c r="B132" s="41"/>
      <c r="C132" s="41"/>
      <c r="D132" s="41"/>
      <c r="E132" s="41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P132" s="10">
        <f t="shared" si="21"/>
        <v>0</v>
      </c>
      <c r="BR132" s="11">
        <v>0</v>
      </c>
      <c r="BT132" s="15"/>
      <c r="BV132" s="13">
        <f t="shared" si="22"/>
        <v>0</v>
      </c>
      <c r="BX132" s="14"/>
      <c r="BY132" s="8"/>
      <c r="BZ132" s="13">
        <f t="shared" si="23"/>
        <v>0</v>
      </c>
      <c r="CB132" s="15"/>
      <c r="CD132" s="8"/>
      <c r="CE132" s="13">
        <f t="shared" si="24"/>
        <v>0</v>
      </c>
      <c r="CG132" s="9"/>
      <c r="CH132" s="13">
        <f t="shared" si="25"/>
        <v>0</v>
      </c>
      <c r="CI132" s="16">
        <f t="shared" si="26"/>
        <v>0</v>
      </c>
      <c r="CK132" s="8">
        <f t="shared" si="35"/>
        <v>0</v>
      </c>
      <c r="CL132" s="13">
        <f t="shared" si="36"/>
        <v>0</v>
      </c>
      <c r="CM132" s="13">
        <f t="shared" si="37"/>
        <v>0</v>
      </c>
      <c r="CO132" s="14">
        <f t="shared" si="29"/>
        <v>0</v>
      </c>
      <c r="CP132" s="8">
        <f t="shared" si="27"/>
        <v>0</v>
      </c>
      <c r="CQ132" s="13">
        <f t="shared" si="38"/>
        <v>0</v>
      </c>
      <c r="CR132" s="17" t="str">
        <f t="shared" si="28"/>
        <v>nenhuma</v>
      </c>
      <c r="CS132" s="13">
        <f t="shared" si="39"/>
        <v>0</v>
      </c>
    </row>
    <row r="133" spans="1:97" x14ac:dyDescent="0.25">
      <c r="A133" s="7">
        <v>129</v>
      </c>
      <c r="B133" s="41"/>
      <c r="C133" s="41"/>
      <c r="D133" s="41"/>
      <c r="E133" s="41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P133" s="10">
        <f t="shared" ref="BP133:BP196" si="40">IF(SUM(F133:BN133)&gt;0,ROUND(AVERAGE(F133:BN133),4),0)</f>
        <v>0</v>
      </c>
      <c r="BR133" s="11">
        <v>0</v>
      </c>
      <c r="BT133" s="15"/>
      <c r="BV133" s="13">
        <f t="shared" ref="BV133:BV196" si="41">IF(BR133&gt;0,BR133,BP133)*BT133</f>
        <v>0</v>
      </c>
      <c r="BX133" s="14"/>
      <c r="BY133" s="8"/>
      <c r="BZ133" s="13">
        <f t="shared" ref="BZ133:BZ196" si="42">IF(BX133="",0,IF(BY133="",SUMIF($B$5:$B$220,"="&amp;BX133,$BV$5:$BV$220),SUMIFS($BV$5:$BV$220, $B$5:$B$220, "="&amp;BX133, $C$5:$C$220,"="&amp;BY133)))</f>
        <v>0</v>
      </c>
      <c r="CB133" s="15"/>
      <c r="CD133" s="8"/>
      <c r="CE133" s="13">
        <f t="shared" ref="CE133:CE196" si="43">IF(CD133="",0,SUMIF($CB$5:$CB$220,"="&amp;CD133,$BV$5:$BV$220))</f>
        <v>0</v>
      </c>
      <c r="CG133" s="9"/>
      <c r="CH133" s="13">
        <f t="shared" ref="CH133:CH196" si="44">CG133*BT133</f>
        <v>0</v>
      </c>
      <c r="CI133" s="16">
        <f t="shared" ref="CI133:CI196" si="45">IF(BV133&gt;0,IF(CH133&gt;=0,CH133-BV133,0),0)</f>
        <v>0</v>
      </c>
      <c r="CK133" s="8">
        <f t="shared" si="35"/>
        <v>0</v>
      </c>
      <c r="CL133" s="13">
        <f t="shared" si="36"/>
        <v>0</v>
      </c>
      <c r="CM133" s="13">
        <f t="shared" si="37"/>
        <v>0</v>
      </c>
      <c r="CO133" s="14">
        <f t="shared" si="29"/>
        <v>0</v>
      </c>
      <c r="CP133" s="8">
        <f t="shared" ref="CP133:CP196" si="46">BY133</f>
        <v>0</v>
      </c>
      <c r="CQ133" s="13">
        <f t="shared" si="38"/>
        <v>0</v>
      </c>
      <c r="CR133" s="17" t="str">
        <f t="shared" ref="CR133:CR196" si="47">IF(CS133&gt;0,"anular",IF(CS133&lt;0,"reforçar","nenhuma"))</f>
        <v>nenhuma</v>
      </c>
      <c r="CS133" s="13">
        <f t="shared" si="39"/>
        <v>0</v>
      </c>
    </row>
    <row r="134" spans="1:97" x14ac:dyDescent="0.25">
      <c r="A134" s="7">
        <v>130</v>
      </c>
      <c r="B134" s="41"/>
      <c r="C134" s="41"/>
      <c r="D134" s="41"/>
      <c r="E134" s="41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P134" s="10">
        <f t="shared" si="40"/>
        <v>0</v>
      </c>
      <c r="BR134" s="11">
        <v>0</v>
      </c>
      <c r="BT134" s="15"/>
      <c r="BV134" s="13">
        <f t="shared" si="41"/>
        <v>0</v>
      </c>
      <c r="BX134" s="14"/>
      <c r="BY134" s="8"/>
      <c r="BZ134" s="13">
        <f t="shared" si="42"/>
        <v>0</v>
      </c>
      <c r="CB134" s="15"/>
      <c r="CD134" s="8"/>
      <c r="CE134" s="13">
        <f t="shared" si="43"/>
        <v>0</v>
      </c>
      <c r="CG134" s="9"/>
      <c r="CH134" s="13">
        <f t="shared" si="44"/>
        <v>0</v>
      </c>
      <c r="CI134" s="16">
        <f t="shared" si="45"/>
        <v>0</v>
      </c>
      <c r="CK134" s="8">
        <f t="shared" si="35"/>
        <v>0</v>
      </c>
      <c r="CL134" s="13">
        <f t="shared" si="36"/>
        <v>0</v>
      </c>
      <c r="CM134" s="13">
        <f t="shared" si="37"/>
        <v>0</v>
      </c>
      <c r="CO134" s="14">
        <f t="shared" si="29"/>
        <v>0</v>
      </c>
      <c r="CP134" s="8">
        <f t="shared" si="46"/>
        <v>0</v>
      </c>
      <c r="CQ134" s="13">
        <f t="shared" si="38"/>
        <v>0</v>
      </c>
      <c r="CR134" s="17" t="str">
        <f t="shared" si="47"/>
        <v>nenhuma</v>
      </c>
      <c r="CS134" s="13">
        <f t="shared" si="39"/>
        <v>0</v>
      </c>
    </row>
    <row r="135" spans="1:97" x14ac:dyDescent="0.25">
      <c r="A135" s="7">
        <v>131</v>
      </c>
      <c r="B135" s="41"/>
      <c r="C135" s="41"/>
      <c r="D135" s="41"/>
      <c r="E135" s="41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P135" s="10">
        <f t="shared" si="40"/>
        <v>0</v>
      </c>
      <c r="BR135" s="11">
        <v>0</v>
      </c>
      <c r="BT135" s="15"/>
      <c r="BV135" s="13">
        <f t="shared" si="41"/>
        <v>0</v>
      </c>
      <c r="BX135" s="14"/>
      <c r="BY135" s="8"/>
      <c r="BZ135" s="13">
        <f t="shared" si="42"/>
        <v>0</v>
      </c>
      <c r="CB135" s="15"/>
      <c r="CD135" s="8"/>
      <c r="CE135" s="13">
        <f t="shared" si="43"/>
        <v>0</v>
      </c>
      <c r="CG135" s="9"/>
      <c r="CH135" s="13">
        <f t="shared" si="44"/>
        <v>0</v>
      </c>
      <c r="CI135" s="16">
        <f t="shared" si="45"/>
        <v>0</v>
      </c>
      <c r="CK135" s="8">
        <f t="shared" si="35"/>
        <v>0</v>
      </c>
      <c r="CL135" s="13">
        <f t="shared" si="36"/>
        <v>0</v>
      </c>
      <c r="CM135" s="13">
        <f t="shared" si="37"/>
        <v>0</v>
      </c>
      <c r="CO135" s="14">
        <f t="shared" ref="CO135:CO198" si="48">BX135</f>
        <v>0</v>
      </c>
      <c r="CP135" s="8">
        <f t="shared" si="46"/>
        <v>0</v>
      </c>
      <c r="CQ135" s="13">
        <f t="shared" si="38"/>
        <v>0</v>
      </c>
      <c r="CR135" s="17" t="str">
        <f t="shared" si="47"/>
        <v>nenhuma</v>
      </c>
      <c r="CS135" s="13">
        <f t="shared" si="39"/>
        <v>0</v>
      </c>
    </row>
    <row r="136" spans="1:97" x14ac:dyDescent="0.25">
      <c r="A136" s="7">
        <v>132</v>
      </c>
      <c r="B136" s="41"/>
      <c r="C136" s="41"/>
      <c r="D136" s="41"/>
      <c r="E136" s="41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P136" s="10">
        <f t="shared" si="40"/>
        <v>0</v>
      </c>
      <c r="BR136" s="11">
        <v>0</v>
      </c>
      <c r="BT136" s="15"/>
      <c r="BV136" s="13">
        <f t="shared" si="41"/>
        <v>0</v>
      </c>
      <c r="BX136" s="14"/>
      <c r="BY136" s="8"/>
      <c r="BZ136" s="13">
        <f t="shared" si="42"/>
        <v>0</v>
      </c>
      <c r="CB136" s="15"/>
      <c r="CD136" s="8"/>
      <c r="CE136" s="13">
        <f t="shared" si="43"/>
        <v>0</v>
      </c>
      <c r="CG136" s="9"/>
      <c r="CH136" s="13">
        <f t="shared" si="44"/>
        <v>0</v>
      </c>
      <c r="CI136" s="16">
        <f t="shared" si="45"/>
        <v>0</v>
      </c>
      <c r="CK136" s="8">
        <f t="shared" si="35"/>
        <v>0</v>
      </c>
      <c r="CL136" s="13">
        <f t="shared" si="36"/>
        <v>0</v>
      </c>
      <c r="CM136" s="13">
        <f t="shared" si="37"/>
        <v>0</v>
      </c>
      <c r="CO136" s="14">
        <f t="shared" si="48"/>
        <v>0</v>
      </c>
      <c r="CP136" s="8">
        <f t="shared" si="46"/>
        <v>0</v>
      </c>
      <c r="CQ136" s="13">
        <f t="shared" si="38"/>
        <v>0</v>
      </c>
      <c r="CR136" s="17" t="str">
        <f t="shared" si="47"/>
        <v>nenhuma</v>
      </c>
      <c r="CS136" s="13">
        <f t="shared" si="39"/>
        <v>0</v>
      </c>
    </row>
    <row r="137" spans="1:97" x14ac:dyDescent="0.25">
      <c r="A137" s="7">
        <v>133</v>
      </c>
      <c r="B137" s="41"/>
      <c r="C137" s="41"/>
      <c r="D137" s="41"/>
      <c r="E137" s="41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P137" s="10">
        <f t="shared" si="40"/>
        <v>0</v>
      </c>
      <c r="BR137" s="11">
        <v>0</v>
      </c>
      <c r="BT137" s="15"/>
      <c r="BV137" s="13">
        <f t="shared" si="41"/>
        <v>0</v>
      </c>
      <c r="BX137" s="14"/>
      <c r="BY137" s="8"/>
      <c r="BZ137" s="13">
        <f t="shared" si="42"/>
        <v>0</v>
      </c>
      <c r="CB137" s="15"/>
      <c r="CD137" s="8"/>
      <c r="CE137" s="13">
        <f t="shared" si="43"/>
        <v>0</v>
      </c>
      <c r="CG137" s="9"/>
      <c r="CH137" s="13">
        <f t="shared" si="44"/>
        <v>0</v>
      </c>
      <c r="CI137" s="16">
        <f t="shared" si="45"/>
        <v>0</v>
      </c>
      <c r="CK137" s="8">
        <f t="shared" si="35"/>
        <v>0</v>
      </c>
      <c r="CL137" s="13">
        <f t="shared" si="36"/>
        <v>0</v>
      </c>
      <c r="CM137" s="13">
        <f t="shared" si="37"/>
        <v>0</v>
      </c>
      <c r="CO137" s="14">
        <f t="shared" si="48"/>
        <v>0</v>
      </c>
      <c r="CP137" s="8">
        <f t="shared" si="46"/>
        <v>0</v>
      </c>
      <c r="CQ137" s="13">
        <f t="shared" si="38"/>
        <v>0</v>
      </c>
      <c r="CR137" s="17" t="str">
        <f t="shared" si="47"/>
        <v>nenhuma</v>
      </c>
      <c r="CS137" s="13">
        <f t="shared" si="39"/>
        <v>0</v>
      </c>
    </row>
    <row r="138" spans="1:97" x14ac:dyDescent="0.25">
      <c r="A138" s="7">
        <v>134</v>
      </c>
      <c r="B138" s="41"/>
      <c r="C138" s="41"/>
      <c r="D138" s="41"/>
      <c r="E138" s="41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P138" s="10">
        <f t="shared" si="40"/>
        <v>0</v>
      </c>
      <c r="BR138" s="11">
        <v>0</v>
      </c>
      <c r="BT138" s="15"/>
      <c r="BV138" s="13">
        <f t="shared" si="41"/>
        <v>0</v>
      </c>
      <c r="BX138" s="14"/>
      <c r="BY138" s="8"/>
      <c r="BZ138" s="13">
        <f t="shared" si="42"/>
        <v>0</v>
      </c>
      <c r="CB138" s="15"/>
      <c r="CD138" s="8"/>
      <c r="CE138" s="13">
        <f t="shared" si="43"/>
        <v>0</v>
      </c>
      <c r="CG138" s="9"/>
      <c r="CH138" s="13">
        <f t="shared" si="44"/>
        <v>0</v>
      </c>
      <c r="CI138" s="16">
        <f t="shared" si="45"/>
        <v>0</v>
      </c>
      <c r="CK138" s="8">
        <f t="shared" si="35"/>
        <v>0</v>
      </c>
      <c r="CL138" s="13">
        <f t="shared" si="36"/>
        <v>0</v>
      </c>
      <c r="CM138" s="13">
        <f t="shared" si="37"/>
        <v>0</v>
      </c>
      <c r="CO138" s="14">
        <f t="shared" si="48"/>
        <v>0</v>
      </c>
      <c r="CP138" s="8">
        <f t="shared" si="46"/>
        <v>0</v>
      </c>
      <c r="CQ138" s="13">
        <f t="shared" si="38"/>
        <v>0</v>
      </c>
      <c r="CR138" s="17" t="str">
        <f t="shared" si="47"/>
        <v>nenhuma</v>
      </c>
      <c r="CS138" s="13">
        <f t="shared" si="39"/>
        <v>0</v>
      </c>
    </row>
    <row r="139" spans="1:97" x14ac:dyDescent="0.25">
      <c r="A139" s="7">
        <v>135</v>
      </c>
      <c r="B139" s="41"/>
      <c r="C139" s="41"/>
      <c r="D139" s="41"/>
      <c r="E139" s="41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P139" s="10">
        <f t="shared" si="40"/>
        <v>0</v>
      </c>
      <c r="BR139" s="11">
        <v>0</v>
      </c>
      <c r="BT139" s="15"/>
      <c r="BV139" s="13">
        <f t="shared" si="41"/>
        <v>0</v>
      </c>
      <c r="BX139" s="14"/>
      <c r="BY139" s="8"/>
      <c r="BZ139" s="13">
        <f t="shared" si="42"/>
        <v>0</v>
      </c>
      <c r="CB139" s="15"/>
      <c r="CD139" s="8"/>
      <c r="CE139" s="13">
        <f t="shared" si="43"/>
        <v>0</v>
      </c>
      <c r="CG139" s="9"/>
      <c r="CH139" s="13">
        <f t="shared" si="44"/>
        <v>0</v>
      </c>
      <c r="CI139" s="16">
        <f t="shared" si="45"/>
        <v>0</v>
      </c>
      <c r="CK139" s="8">
        <f t="shared" si="35"/>
        <v>0</v>
      </c>
      <c r="CL139" s="13">
        <f t="shared" si="36"/>
        <v>0</v>
      </c>
      <c r="CM139" s="13">
        <f t="shared" si="37"/>
        <v>0</v>
      </c>
      <c r="CO139" s="14">
        <f t="shared" si="48"/>
        <v>0</v>
      </c>
      <c r="CP139" s="8">
        <f t="shared" si="46"/>
        <v>0</v>
      </c>
      <c r="CQ139" s="13">
        <f t="shared" si="38"/>
        <v>0</v>
      </c>
      <c r="CR139" s="17" t="str">
        <f t="shared" si="47"/>
        <v>nenhuma</v>
      </c>
      <c r="CS139" s="13">
        <f t="shared" si="39"/>
        <v>0</v>
      </c>
    </row>
    <row r="140" spans="1:97" x14ac:dyDescent="0.25">
      <c r="A140" s="7">
        <v>136</v>
      </c>
      <c r="B140" s="41"/>
      <c r="C140" s="41"/>
      <c r="D140" s="41"/>
      <c r="E140" s="41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P140" s="10">
        <f t="shared" si="40"/>
        <v>0</v>
      </c>
      <c r="BR140" s="11">
        <v>0</v>
      </c>
      <c r="BT140" s="15"/>
      <c r="BV140" s="13">
        <f t="shared" si="41"/>
        <v>0</v>
      </c>
      <c r="BX140" s="14"/>
      <c r="BY140" s="8"/>
      <c r="BZ140" s="13">
        <f t="shared" si="42"/>
        <v>0</v>
      </c>
      <c r="CB140" s="15"/>
      <c r="CD140" s="8"/>
      <c r="CE140" s="13">
        <f t="shared" si="43"/>
        <v>0</v>
      </c>
      <c r="CG140" s="9"/>
      <c r="CH140" s="13">
        <f t="shared" si="44"/>
        <v>0</v>
      </c>
      <c r="CI140" s="16">
        <f t="shared" si="45"/>
        <v>0</v>
      </c>
      <c r="CK140" s="8">
        <f t="shared" si="35"/>
        <v>0</v>
      </c>
      <c r="CL140" s="13">
        <f t="shared" si="36"/>
        <v>0</v>
      </c>
      <c r="CM140" s="13">
        <f t="shared" si="37"/>
        <v>0</v>
      </c>
      <c r="CO140" s="14">
        <f t="shared" si="48"/>
        <v>0</v>
      </c>
      <c r="CP140" s="8">
        <f t="shared" si="46"/>
        <v>0</v>
      </c>
      <c r="CQ140" s="13">
        <f t="shared" si="38"/>
        <v>0</v>
      </c>
      <c r="CR140" s="17" t="str">
        <f t="shared" si="47"/>
        <v>nenhuma</v>
      </c>
      <c r="CS140" s="13">
        <f t="shared" si="39"/>
        <v>0</v>
      </c>
    </row>
    <row r="141" spans="1:97" x14ac:dyDescent="0.25">
      <c r="A141" s="7">
        <v>137</v>
      </c>
      <c r="B141" s="41"/>
      <c r="C141" s="41"/>
      <c r="D141" s="41"/>
      <c r="E141" s="41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P141" s="10">
        <f t="shared" si="40"/>
        <v>0</v>
      </c>
      <c r="BR141" s="11">
        <v>0</v>
      </c>
      <c r="BT141" s="15"/>
      <c r="BV141" s="13">
        <f t="shared" si="41"/>
        <v>0</v>
      </c>
      <c r="BX141" s="14"/>
      <c r="BY141" s="8"/>
      <c r="BZ141" s="13">
        <f t="shared" si="42"/>
        <v>0</v>
      </c>
      <c r="CB141" s="15"/>
      <c r="CD141" s="8"/>
      <c r="CE141" s="13">
        <f t="shared" si="43"/>
        <v>0</v>
      </c>
      <c r="CG141" s="9"/>
      <c r="CH141" s="13">
        <f t="shared" si="44"/>
        <v>0</v>
      </c>
      <c r="CI141" s="16">
        <f t="shared" si="45"/>
        <v>0</v>
      </c>
      <c r="CK141" s="8">
        <f t="shared" si="35"/>
        <v>0</v>
      </c>
      <c r="CL141" s="13">
        <f t="shared" si="36"/>
        <v>0</v>
      </c>
      <c r="CM141" s="13">
        <f t="shared" si="37"/>
        <v>0</v>
      </c>
      <c r="CO141" s="14">
        <f t="shared" si="48"/>
        <v>0</v>
      </c>
      <c r="CP141" s="8">
        <f t="shared" si="46"/>
        <v>0</v>
      </c>
      <c r="CQ141" s="13">
        <f t="shared" si="38"/>
        <v>0</v>
      </c>
      <c r="CR141" s="17" t="str">
        <f t="shared" si="47"/>
        <v>nenhuma</v>
      </c>
      <c r="CS141" s="13">
        <f t="shared" si="39"/>
        <v>0</v>
      </c>
    </row>
    <row r="142" spans="1:97" x14ac:dyDescent="0.25">
      <c r="A142" s="7">
        <v>138</v>
      </c>
      <c r="B142" s="41"/>
      <c r="C142" s="41"/>
      <c r="D142" s="41"/>
      <c r="E142" s="41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P142" s="10">
        <f t="shared" si="40"/>
        <v>0</v>
      </c>
      <c r="BR142" s="11">
        <v>0</v>
      </c>
      <c r="BT142" s="15"/>
      <c r="BV142" s="13">
        <f t="shared" si="41"/>
        <v>0</v>
      </c>
      <c r="BX142" s="14"/>
      <c r="BY142" s="8"/>
      <c r="BZ142" s="13">
        <f t="shared" si="42"/>
        <v>0</v>
      </c>
      <c r="CB142" s="15"/>
      <c r="CD142" s="8"/>
      <c r="CE142" s="13">
        <f t="shared" si="43"/>
        <v>0</v>
      </c>
      <c r="CG142" s="9"/>
      <c r="CH142" s="13">
        <f t="shared" si="44"/>
        <v>0</v>
      </c>
      <c r="CI142" s="16">
        <f t="shared" si="45"/>
        <v>0</v>
      </c>
      <c r="CK142" s="8">
        <f t="shared" si="35"/>
        <v>0</v>
      </c>
      <c r="CL142" s="13">
        <f t="shared" si="36"/>
        <v>0</v>
      </c>
      <c r="CM142" s="13">
        <f t="shared" si="37"/>
        <v>0</v>
      </c>
      <c r="CO142" s="14">
        <f t="shared" si="48"/>
        <v>0</v>
      </c>
      <c r="CP142" s="8">
        <f t="shared" si="46"/>
        <v>0</v>
      </c>
      <c r="CQ142" s="13">
        <f t="shared" si="38"/>
        <v>0</v>
      </c>
      <c r="CR142" s="17" t="str">
        <f t="shared" si="47"/>
        <v>nenhuma</v>
      </c>
      <c r="CS142" s="13">
        <f t="shared" si="39"/>
        <v>0</v>
      </c>
    </row>
    <row r="143" spans="1:97" x14ac:dyDescent="0.25">
      <c r="A143" s="7">
        <v>139</v>
      </c>
      <c r="B143" s="41"/>
      <c r="C143" s="41"/>
      <c r="D143" s="41"/>
      <c r="E143" s="41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P143" s="10">
        <f t="shared" si="40"/>
        <v>0</v>
      </c>
      <c r="BR143" s="11">
        <v>0</v>
      </c>
      <c r="BT143" s="15"/>
      <c r="BV143" s="13">
        <f t="shared" si="41"/>
        <v>0</v>
      </c>
      <c r="BX143" s="14"/>
      <c r="BY143" s="8"/>
      <c r="BZ143" s="13">
        <f t="shared" si="42"/>
        <v>0</v>
      </c>
      <c r="CB143" s="15"/>
      <c r="CD143" s="8"/>
      <c r="CE143" s="13">
        <f t="shared" si="43"/>
        <v>0</v>
      </c>
      <c r="CG143" s="9"/>
      <c r="CH143" s="13">
        <f t="shared" si="44"/>
        <v>0</v>
      </c>
      <c r="CI143" s="16">
        <f t="shared" si="45"/>
        <v>0</v>
      </c>
      <c r="CK143" s="8">
        <f t="shared" si="35"/>
        <v>0</v>
      </c>
      <c r="CL143" s="13">
        <f t="shared" si="36"/>
        <v>0</v>
      </c>
      <c r="CM143" s="13">
        <f t="shared" si="37"/>
        <v>0</v>
      </c>
      <c r="CO143" s="14">
        <f t="shared" si="48"/>
        <v>0</v>
      </c>
      <c r="CP143" s="8">
        <f t="shared" si="46"/>
        <v>0</v>
      </c>
      <c r="CQ143" s="13">
        <f t="shared" si="38"/>
        <v>0</v>
      </c>
      <c r="CR143" s="17" t="str">
        <f t="shared" si="47"/>
        <v>nenhuma</v>
      </c>
      <c r="CS143" s="13">
        <f t="shared" si="39"/>
        <v>0</v>
      </c>
    </row>
    <row r="144" spans="1:97" x14ac:dyDescent="0.25">
      <c r="A144" s="7">
        <v>140</v>
      </c>
      <c r="B144" s="41"/>
      <c r="C144" s="41"/>
      <c r="D144" s="41"/>
      <c r="E144" s="41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P144" s="10">
        <f t="shared" si="40"/>
        <v>0</v>
      </c>
      <c r="BR144" s="11">
        <v>0</v>
      </c>
      <c r="BT144" s="15"/>
      <c r="BV144" s="13">
        <f t="shared" si="41"/>
        <v>0</v>
      </c>
      <c r="BX144" s="14"/>
      <c r="BY144" s="8"/>
      <c r="BZ144" s="13">
        <f t="shared" si="42"/>
        <v>0</v>
      </c>
      <c r="CB144" s="15"/>
      <c r="CD144" s="8"/>
      <c r="CE144" s="13">
        <f t="shared" si="43"/>
        <v>0</v>
      </c>
      <c r="CG144" s="9"/>
      <c r="CH144" s="13">
        <f t="shared" si="44"/>
        <v>0</v>
      </c>
      <c r="CI144" s="16">
        <f t="shared" si="45"/>
        <v>0</v>
      </c>
      <c r="CK144" s="8">
        <f t="shared" si="35"/>
        <v>0</v>
      </c>
      <c r="CL144" s="13">
        <f t="shared" si="36"/>
        <v>0</v>
      </c>
      <c r="CM144" s="13">
        <f t="shared" si="37"/>
        <v>0</v>
      </c>
      <c r="CO144" s="14">
        <f t="shared" si="48"/>
        <v>0</v>
      </c>
      <c r="CP144" s="8">
        <f t="shared" si="46"/>
        <v>0</v>
      </c>
      <c r="CQ144" s="13">
        <f t="shared" si="38"/>
        <v>0</v>
      </c>
      <c r="CR144" s="17" t="str">
        <f t="shared" si="47"/>
        <v>nenhuma</v>
      </c>
      <c r="CS144" s="13">
        <f t="shared" si="39"/>
        <v>0</v>
      </c>
    </row>
    <row r="145" spans="1:97" x14ac:dyDescent="0.25">
      <c r="A145" s="7">
        <v>141</v>
      </c>
      <c r="B145" s="41"/>
      <c r="C145" s="41"/>
      <c r="D145" s="41"/>
      <c r="E145" s="41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P145" s="10">
        <f t="shared" si="40"/>
        <v>0</v>
      </c>
      <c r="BR145" s="11">
        <v>0</v>
      </c>
      <c r="BT145" s="15"/>
      <c r="BV145" s="13">
        <f t="shared" si="41"/>
        <v>0</v>
      </c>
      <c r="BX145" s="14"/>
      <c r="BY145" s="8"/>
      <c r="BZ145" s="13">
        <f t="shared" si="42"/>
        <v>0</v>
      </c>
      <c r="CB145" s="15"/>
      <c r="CD145" s="8"/>
      <c r="CE145" s="13">
        <f t="shared" si="43"/>
        <v>0</v>
      </c>
      <c r="CG145" s="9"/>
      <c r="CH145" s="13">
        <f t="shared" si="44"/>
        <v>0</v>
      </c>
      <c r="CI145" s="16">
        <f t="shared" si="45"/>
        <v>0</v>
      </c>
      <c r="CK145" s="8">
        <f t="shared" si="35"/>
        <v>0</v>
      </c>
      <c r="CL145" s="13">
        <f t="shared" si="36"/>
        <v>0</v>
      </c>
      <c r="CM145" s="13">
        <f t="shared" si="37"/>
        <v>0</v>
      </c>
      <c r="CO145" s="14">
        <f t="shared" si="48"/>
        <v>0</v>
      </c>
      <c r="CP145" s="8">
        <f t="shared" si="46"/>
        <v>0</v>
      </c>
      <c r="CQ145" s="13">
        <f t="shared" si="38"/>
        <v>0</v>
      </c>
      <c r="CR145" s="17" t="str">
        <f t="shared" si="47"/>
        <v>nenhuma</v>
      </c>
      <c r="CS145" s="13">
        <f t="shared" si="39"/>
        <v>0</v>
      </c>
    </row>
    <row r="146" spans="1:97" x14ac:dyDescent="0.25">
      <c r="A146" s="7">
        <v>142</v>
      </c>
      <c r="B146" s="41"/>
      <c r="C146" s="41"/>
      <c r="D146" s="41"/>
      <c r="E146" s="41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P146" s="10">
        <f t="shared" si="40"/>
        <v>0</v>
      </c>
      <c r="BR146" s="11">
        <v>0</v>
      </c>
      <c r="BT146" s="15"/>
      <c r="BV146" s="13">
        <f t="shared" si="41"/>
        <v>0</v>
      </c>
      <c r="BX146" s="14"/>
      <c r="BY146" s="8"/>
      <c r="BZ146" s="13">
        <f t="shared" si="42"/>
        <v>0</v>
      </c>
      <c r="CB146" s="15"/>
      <c r="CD146" s="8"/>
      <c r="CE146" s="13">
        <f t="shared" si="43"/>
        <v>0</v>
      </c>
      <c r="CG146" s="9"/>
      <c r="CH146" s="13">
        <f t="shared" si="44"/>
        <v>0</v>
      </c>
      <c r="CI146" s="16">
        <f t="shared" si="45"/>
        <v>0</v>
      </c>
      <c r="CK146" s="8">
        <f t="shared" si="35"/>
        <v>0</v>
      </c>
      <c r="CL146" s="13">
        <f t="shared" si="36"/>
        <v>0</v>
      </c>
      <c r="CM146" s="13">
        <f t="shared" si="37"/>
        <v>0</v>
      </c>
      <c r="CO146" s="14">
        <f t="shared" si="48"/>
        <v>0</v>
      </c>
      <c r="CP146" s="8">
        <f t="shared" si="46"/>
        <v>0</v>
      </c>
      <c r="CQ146" s="13">
        <f t="shared" si="38"/>
        <v>0</v>
      </c>
      <c r="CR146" s="17" t="str">
        <f t="shared" si="47"/>
        <v>nenhuma</v>
      </c>
      <c r="CS146" s="13">
        <f t="shared" si="39"/>
        <v>0</v>
      </c>
    </row>
    <row r="147" spans="1:97" x14ac:dyDescent="0.25">
      <c r="A147" s="7">
        <v>143</v>
      </c>
      <c r="B147" s="41"/>
      <c r="C147" s="41"/>
      <c r="D147" s="41"/>
      <c r="E147" s="41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P147" s="10">
        <f t="shared" si="40"/>
        <v>0</v>
      </c>
      <c r="BR147" s="11">
        <v>0</v>
      </c>
      <c r="BT147" s="15"/>
      <c r="BV147" s="13">
        <f t="shared" si="41"/>
        <v>0</v>
      </c>
      <c r="BX147" s="14"/>
      <c r="BY147" s="8"/>
      <c r="BZ147" s="13">
        <f t="shared" si="42"/>
        <v>0</v>
      </c>
      <c r="CB147" s="15"/>
      <c r="CD147" s="8"/>
      <c r="CE147" s="13">
        <f t="shared" si="43"/>
        <v>0</v>
      </c>
      <c r="CG147" s="9"/>
      <c r="CH147" s="13">
        <f t="shared" si="44"/>
        <v>0</v>
      </c>
      <c r="CI147" s="16">
        <f t="shared" si="45"/>
        <v>0</v>
      </c>
      <c r="CK147" s="8">
        <f t="shared" si="35"/>
        <v>0</v>
      </c>
      <c r="CL147" s="13">
        <f t="shared" si="36"/>
        <v>0</v>
      </c>
      <c r="CM147" s="13">
        <f t="shared" si="37"/>
        <v>0</v>
      </c>
      <c r="CO147" s="14">
        <f t="shared" si="48"/>
        <v>0</v>
      </c>
      <c r="CP147" s="8">
        <f t="shared" si="46"/>
        <v>0</v>
      </c>
      <c r="CQ147" s="13">
        <f t="shared" si="38"/>
        <v>0</v>
      </c>
      <c r="CR147" s="17" t="str">
        <f t="shared" si="47"/>
        <v>nenhuma</v>
      </c>
      <c r="CS147" s="13">
        <f t="shared" si="39"/>
        <v>0</v>
      </c>
    </row>
    <row r="148" spans="1:97" x14ac:dyDescent="0.25">
      <c r="A148" s="7">
        <v>144</v>
      </c>
      <c r="B148" s="41"/>
      <c r="C148" s="41"/>
      <c r="D148" s="41"/>
      <c r="E148" s="41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P148" s="10">
        <f t="shared" si="40"/>
        <v>0</v>
      </c>
      <c r="BR148" s="11">
        <v>0</v>
      </c>
      <c r="BT148" s="15"/>
      <c r="BV148" s="13">
        <f t="shared" si="41"/>
        <v>0</v>
      </c>
      <c r="BX148" s="14"/>
      <c r="BY148" s="8"/>
      <c r="BZ148" s="13">
        <f t="shared" si="42"/>
        <v>0</v>
      </c>
      <c r="CB148" s="15"/>
      <c r="CD148" s="8"/>
      <c r="CE148" s="13">
        <f t="shared" si="43"/>
        <v>0</v>
      </c>
      <c r="CG148" s="9"/>
      <c r="CH148" s="13">
        <f t="shared" si="44"/>
        <v>0</v>
      </c>
      <c r="CI148" s="16">
        <f t="shared" si="45"/>
        <v>0</v>
      </c>
      <c r="CK148" s="8">
        <f t="shared" si="35"/>
        <v>0</v>
      </c>
      <c r="CL148" s="13">
        <f t="shared" si="36"/>
        <v>0</v>
      </c>
      <c r="CM148" s="13">
        <f t="shared" si="37"/>
        <v>0</v>
      </c>
      <c r="CO148" s="14">
        <f t="shared" si="48"/>
        <v>0</v>
      </c>
      <c r="CP148" s="8">
        <f t="shared" si="46"/>
        <v>0</v>
      </c>
      <c r="CQ148" s="13">
        <f t="shared" si="38"/>
        <v>0</v>
      </c>
      <c r="CR148" s="17" t="str">
        <f t="shared" si="47"/>
        <v>nenhuma</v>
      </c>
      <c r="CS148" s="13">
        <f t="shared" si="39"/>
        <v>0</v>
      </c>
    </row>
    <row r="149" spans="1:97" x14ac:dyDescent="0.25">
      <c r="A149" s="7">
        <v>145</v>
      </c>
      <c r="B149" s="41"/>
      <c r="C149" s="41"/>
      <c r="D149" s="41"/>
      <c r="E149" s="41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P149" s="10">
        <f t="shared" si="40"/>
        <v>0</v>
      </c>
      <c r="BR149" s="11">
        <v>0</v>
      </c>
      <c r="BT149" s="15"/>
      <c r="BV149" s="13">
        <f t="shared" si="41"/>
        <v>0</v>
      </c>
      <c r="BX149" s="14"/>
      <c r="BY149" s="8"/>
      <c r="BZ149" s="13">
        <f t="shared" si="42"/>
        <v>0</v>
      </c>
      <c r="CB149" s="15"/>
      <c r="CD149" s="8"/>
      <c r="CE149" s="13">
        <f t="shared" si="43"/>
        <v>0</v>
      </c>
      <c r="CG149" s="9"/>
      <c r="CH149" s="13">
        <f t="shared" si="44"/>
        <v>0</v>
      </c>
      <c r="CI149" s="16">
        <f t="shared" si="45"/>
        <v>0</v>
      </c>
      <c r="CK149" s="8">
        <f t="shared" si="35"/>
        <v>0</v>
      </c>
      <c r="CL149" s="13">
        <f t="shared" si="36"/>
        <v>0</v>
      </c>
      <c r="CM149" s="13">
        <f t="shared" si="37"/>
        <v>0</v>
      </c>
      <c r="CO149" s="14">
        <f t="shared" si="48"/>
        <v>0</v>
      </c>
      <c r="CP149" s="8">
        <f t="shared" si="46"/>
        <v>0</v>
      </c>
      <c r="CQ149" s="13">
        <f t="shared" si="38"/>
        <v>0</v>
      </c>
      <c r="CR149" s="17" t="str">
        <f t="shared" si="47"/>
        <v>nenhuma</v>
      </c>
      <c r="CS149" s="13">
        <f t="shared" si="39"/>
        <v>0</v>
      </c>
    </row>
    <row r="150" spans="1:97" x14ac:dyDescent="0.25">
      <c r="A150" s="7">
        <v>146</v>
      </c>
      <c r="B150" s="41"/>
      <c r="C150" s="41"/>
      <c r="D150" s="41"/>
      <c r="E150" s="41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P150" s="10">
        <f t="shared" si="40"/>
        <v>0</v>
      </c>
      <c r="BR150" s="11">
        <v>0</v>
      </c>
      <c r="BT150" s="15"/>
      <c r="BV150" s="13">
        <f t="shared" si="41"/>
        <v>0</v>
      </c>
      <c r="BX150" s="14"/>
      <c r="BY150" s="8"/>
      <c r="BZ150" s="13">
        <f t="shared" si="42"/>
        <v>0</v>
      </c>
      <c r="CB150" s="15"/>
      <c r="CD150" s="8"/>
      <c r="CE150" s="13">
        <f t="shared" si="43"/>
        <v>0</v>
      </c>
      <c r="CG150" s="9"/>
      <c r="CH150" s="13">
        <f t="shared" si="44"/>
        <v>0</v>
      </c>
      <c r="CI150" s="16">
        <f t="shared" si="45"/>
        <v>0</v>
      </c>
      <c r="CK150" s="8">
        <f t="shared" si="35"/>
        <v>0</v>
      </c>
      <c r="CL150" s="13">
        <f t="shared" si="36"/>
        <v>0</v>
      </c>
      <c r="CM150" s="13">
        <f t="shared" si="37"/>
        <v>0</v>
      </c>
      <c r="CO150" s="14">
        <f t="shared" si="48"/>
        <v>0</v>
      </c>
      <c r="CP150" s="8">
        <f t="shared" si="46"/>
        <v>0</v>
      </c>
      <c r="CQ150" s="13">
        <f t="shared" si="38"/>
        <v>0</v>
      </c>
      <c r="CR150" s="17" t="str">
        <f t="shared" si="47"/>
        <v>nenhuma</v>
      </c>
      <c r="CS150" s="13">
        <f t="shared" si="39"/>
        <v>0</v>
      </c>
    </row>
    <row r="151" spans="1:97" x14ac:dyDescent="0.25">
      <c r="A151" s="7">
        <v>147</v>
      </c>
      <c r="B151" s="41"/>
      <c r="C151" s="41"/>
      <c r="D151" s="41"/>
      <c r="E151" s="41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P151" s="10">
        <f t="shared" si="40"/>
        <v>0</v>
      </c>
      <c r="BR151" s="11">
        <v>0</v>
      </c>
      <c r="BT151" s="15"/>
      <c r="BV151" s="13">
        <f t="shared" si="41"/>
        <v>0</v>
      </c>
      <c r="BX151" s="14"/>
      <c r="BY151" s="8"/>
      <c r="BZ151" s="13">
        <f t="shared" si="42"/>
        <v>0</v>
      </c>
      <c r="CB151" s="15"/>
      <c r="CD151" s="8"/>
      <c r="CE151" s="13">
        <f t="shared" si="43"/>
        <v>0</v>
      </c>
      <c r="CG151" s="9"/>
      <c r="CH151" s="13">
        <f t="shared" si="44"/>
        <v>0</v>
      </c>
      <c r="CI151" s="16">
        <f t="shared" si="45"/>
        <v>0</v>
      </c>
      <c r="CK151" s="8">
        <f t="shared" si="35"/>
        <v>0</v>
      </c>
      <c r="CL151" s="13">
        <f t="shared" si="36"/>
        <v>0</v>
      </c>
      <c r="CM151" s="13">
        <f t="shared" si="37"/>
        <v>0</v>
      </c>
      <c r="CO151" s="14">
        <f t="shared" si="48"/>
        <v>0</v>
      </c>
      <c r="CP151" s="8">
        <f t="shared" si="46"/>
        <v>0</v>
      </c>
      <c r="CQ151" s="13">
        <f t="shared" si="38"/>
        <v>0</v>
      </c>
      <c r="CR151" s="17" t="str">
        <f t="shared" si="47"/>
        <v>nenhuma</v>
      </c>
      <c r="CS151" s="13">
        <f t="shared" si="39"/>
        <v>0</v>
      </c>
    </row>
    <row r="152" spans="1:97" x14ac:dyDescent="0.25">
      <c r="A152" s="7">
        <v>148</v>
      </c>
      <c r="B152" s="41"/>
      <c r="C152" s="41"/>
      <c r="D152" s="41"/>
      <c r="E152" s="41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P152" s="10">
        <f t="shared" si="40"/>
        <v>0</v>
      </c>
      <c r="BR152" s="11">
        <v>0</v>
      </c>
      <c r="BT152" s="15"/>
      <c r="BV152" s="13">
        <f t="shared" si="41"/>
        <v>0</v>
      </c>
      <c r="BX152" s="14"/>
      <c r="BY152" s="8"/>
      <c r="BZ152" s="13">
        <f t="shared" si="42"/>
        <v>0</v>
      </c>
      <c r="CB152" s="15"/>
      <c r="CD152" s="8"/>
      <c r="CE152" s="13">
        <f t="shared" si="43"/>
        <v>0</v>
      </c>
      <c r="CG152" s="9"/>
      <c r="CH152" s="13">
        <f t="shared" si="44"/>
        <v>0</v>
      </c>
      <c r="CI152" s="16">
        <f t="shared" si="45"/>
        <v>0</v>
      </c>
      <c r="CK152" s="8">
        <f t="shared" si="35"/>
        <v>0</v>
      </c>
      <c r="CL152" s="13">
        <f t="shared" si="36"/>
        <v>0</v>
      </c>
      <c r="CM152" s="13">
        <f t="shared" si="37"/>
        <v>0</v>
      </c>
      <c r="CO152" s="14">
        <f t="shared" si="48"/>
        <v>0</v>
      </c>
      <c r="CP152" s="8">
        <f t="shared" si="46"/>
        <v>0</v>
      </c>
      <c r="CQ152" s="13">
        <f t="shared" si="38"/>
        <v>0</v>
      </c>
      <c r="CR152" s="17" t="str">
        <f t="shared" si="47"/>
        <v>nenhuma</v>
      </c>
      <c r="CS152" s="13">
        <f t="shared" si="39"/>
        <v>0</v>
      </c>
    </row>
    <row r="153" spans="1:97" x14ac:dyDescent="0.25">
      <c r="A153" s="7">
        <v>149</v>
      </c>
      <c r="B153" s="41"/>
      <c r="C153" s="41"/>
      <c r="D153" s="41"/>
      <c r="E153" s="41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P153" s="10">
        <f t="shared" si="40"/>
        <v>0</v>
      </c>
      <c r="BR153" s="11">
        <v>0</v>
      </c>
      <c r="BT153" s="15"/>
      <c r="BV153" s="13">
        <f t="shared" si="41"/>
        <v>0</v>
      </c>
      <c r="BX153" s="14"/>
      <c r="BY153" s="8"/>
      <c r="BZ153" s="13">
        <f t="shared" si="42"/>
        <v>0</v>
      </c>
      <c r="CB153" s="15"/>
      <c r="CD153" s="8"/>
      <c r="CE153" s="13">
        <f t="shared" si="43"/>
        <v>0</v>
      </c>
      <c r="CG153" s="9"/>
      <c r="CH153" s="13">
        <f t="shared" si="44"/>
        <v>0</v>
      </c>
      <c r="CI153" s="16">
        <f t="shared" si="45"/>
        <v>0</v>
      </c>
      <c r="CK153" s="8">
        <f t="shared" si="35"/>
        <v>0</v>
      </c>
      <c r="CL153" s="13">
        <f t="shared" si="36"/>
        <v>0</v>
      </c>
      <c r="CM153" s="13">
        <f t="shared" si="37"/>
        <v>0</v>
      </c>
      <c r="CO153" s="14">
        <f t="shared" si="48"/>
        <v>0</v>
      </c>
      <c r="CP153" s="8">
        <f t="shared" si="46"/>
        <v>0</v>
      </c>
      <c r="CQ153" s="13">
        <f t="shared" si="38"/>
        <v>0</v>
      </c>
      <c r="CR153" s="17" t="str">
        <f t="shared" si="47"/>
        <v>nenhuma</v>
      </c>
      <c r="CS153" s="13">
        <f t="shared" si="39"/>
        <v>0</v>
      </c>
    </row>
    <row r="154" spans="1:97" x14ac:dyDescent="0.25">
      <c r="A154" s="7">
        <v>150</v>
      </c>
      <c r="B154" s="41"/>
      <c r="C154" s="41"/>
      <c r="D154" s="41"/>
      <c r="E154" s="41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P154" s="10">
        <f t="shared" si="40"/>
        <v>0</v>
      </c>
      <c r="BR154" s="11">
        <v>0</v>
      </c>
      <c r="BT154" s="15"/>
      <c r="BV154" s="13">
        <f t="shared" si="41"/>
        <v>0</v>
      </c>
      <c r="BX154" s="14"/>
      <c r="BY154" s="8"/>
      <c r="BZ154" s="13">
        <f t="shared" si="42"/>
        <v>0</v>
      </c>
      <c r="CB154" s="15"/>
      <c r="CD154" s="8"/>
      <c r="CE154" s="13">
        <f t="shared" si="43"/>
        <v>0</v>
      </c>
      <c r="CG154" s="9"/>
      <c r="CH154" s="13">
        <f t="shared" si="44"/>
        <v>0</v>
      </c>
      <c r="CI154" s="16">
        <f t="shared" si="45"/>
        <v>0</v>
      </c>
      <c r="CK154" s="8">
        <f t="shared" si="35"/>
        <v>0</v>
      </c>
      <c r="CL154" s="13">
        <f t="shared" si="36"/>
        <v>0</v>
      </c>
      <c r="CM154" s="13">
        <f t="shared" si="37"/>
        <v>0</v>
      </c>
      <c r="CO154" s="14">
        <f t="shared" si="48"/>
        <v>0</v>
      </c>
      <c r="CP154" s="8">
        <f t="shared" si="46"/>
        <v>0</v>
      </c>
      <c r="CQ154" s="13">
        <f t="shared" si="38"/>
        <v>0</v>
      </c>
      <c r="CR154" s="17" t="str">
        <f t="shared" si="47"/>
        <v>nenhuma</v>
      </c>
      <c r="CS154" s="13">
        <f t="shared" si="39"/>
        <v>0</v>
      </c>
    </row>
    <row r="155" spans="1:97" x14ac:dyDescent="0.25">
      <c r="A155" s="7">
        <v>151</v>
      </c>
      <c r="B155" s="41"/>
      <c r="C155" s="41"/>
      <c r="D155" s="41"/>
      <c r="E155" s="41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P155" s="10">
        <f t="shared" si="40"/>
        <v>0</v>
      </c>
      <c r="BR155" s="11">
        <v>0</v>
      </c>
      <c r="BT155" s="15"/>
      <c r="BV155" s="13">
        <f t="shared" si="41"/>
        <v>0</v>
      </c>
      <c r="BX155" s="14"/>
      <c r="BY155" s="8"/>
      <c r="BZ155" s="13">
        <f t="shared" si="42"/>
        <v>0</v>
      </c>
      <c r="CB155" s="15"/>
      <c r="CD155" s="8"/>
      <c r="CE155" s="13">
        <f t="shared" si="43"/>
        <v>0</v>
      </c>
      <c r="CG155" s="9"/>
      <c r="CH155" s="13">
        <f t="shared" si="44"/>
        <v>0</v>
      </c>
      <c r="CI155" s="16">
        <f t="shared" si="45"/>
        <v>0</v>
      </c>
      <c r="CK155" s="8">
        <f t="shared" ref="CK155:CK186" si="49">CD155</f>
        <v>0</v>
      </c>
      <c r="CL155" s="13">
        <f t="shared" ref="CL155:CL186" si="50">IF(CK155="","",SUMIF($CB$5:$CB$220,"="&amp;CK155,$CH$5:$CH$220))</f>
        <v>0</v>
      </c>
      <c r="CM155" s="13">
        <f t="shared" ref="CM155:CM186" si="51">IF(CE155&gt;=0,IF(CL155&gt;=0,CE155-CL155,0),0)</f>
        <v>0</v>
      </c>
      <c r="CO155" s="14">
        <f t="shared" si="48"/>
        <v>0</v>
      </c>
      <c r="CP155" s="8">
        <f t="shared" si="46"/>
        <v>0</v>
      </c>
      <c r="CQ155" s="13">
        <f t="shared" ref="CQ155:CQ186" si="52">IF(CO155="","",IF(CP155="",SUMIF($B$5:$B$220,"="&amp;CO155,$CH$5:$CH$220),SUMIFS($CH$5:$CH$220, $B$5:$B$220, "="&amp;CO155, $C$5:$C$220,"="&amp;CP155)))</f>
        <v>0</v>
      </c>
      <c r="CR155" s="17" t="str">
        <f t="shared" si="47"/>
        <v>nenhuma</v>
      </c>
      <c r="CS155" s="13">
        <f t="shared" ref="CS155:CS186" si="53">IF(BZ155&gt;0,IF(CQ155&gt;=0,BZ155-CQ155,0),0)</f>
        <v>0</v>
      </c>
    </row>
    <row r="156" spans="1:97" x14ac:dyDescent="0.25">
      <c r="A156" s="7">
        <v>152</v>
      </c>
      <c r="B156" s="41"/>
      <c r="C156" s="41"/>
      <c r="D156" s="41"/>
      <c r="E156" s="41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P156" s="10">
        <f t="shared" si="40"/>
        <v>0</v>
      </c>
      <c r="BR156" s="11">
        <v>0</v>
      </c>
      <c r="BT156" s="15"/>
      <c r="BV156" s="13">
        <f t="shared" si="41"/>
        <v>0</v>
      </c>
      <c r="BX156" s="14"/>
      <c r="BY156" s="8"/>
      <c r="BZ156" s="13">
        <f t="shared" si="42"/>
        <v>0</v>
      </c>
      <c r="CB156" s="15"/>
      <c r="CD156" s="8"/>
      <c r="CE156" s="13">
        <f t="shared" si="43"/>
        <v>0</v>
      </c>
      <c r="CG156" s="9"/>
      <c r="CH156" s="13">
        <f t="shared" si="44"/>
        <v>0</v>
      </c>
      <c r="CI156" s="16">
        <f t="shared" si="45"/>
        <v>0</v>
      </c>
      <c r="CK156" s="8">
        <f t="shared" si="49"/>
        <v>0</v>
      </c>
      <c r="CL156" s="13">
        <f t="shared" si="50"/>
        <v>0</v>
      </c>
      <c r="CM156" s="13">
        <f t="shared" si="51"/>
        <v>0</v>
      </c>
      <c r="CO156" s="14">
        <f t="shared" si="48"/>
        <v>0</v>
      </c>
      <c r="CP156" s="8">
        <f t="shared" si="46"/>
        <v>0</v>
      </c>
      <c r="CQ156" s="13">
        <f t="shared" si="52"/>
        <v>0</v>
      </c>
      <c r="CR156" s="17" t="str">
        <f t="shared" si="47"/>
        <v>nenhuma</v>
      </c>
      <c r="CS156" s="13">
        <f t="shared" si="53"/>
        <v>0</v>
      </c>
    </row>
    <row r="157" spans="1:97" x14ac:dyDescent="0.25">
      <c r="A157" s="7">
        <v>153</v>
      </c>
      <c r="B157" s="41"/>
      <c r="C157" s="41"/>
      <c r="D157" s="41"/>
      <c r="E157" s="41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P157" s="10">
        <f t="shared" si="40"/>
        <v>0</v>
      </c>
      <c r="BR157" s="11">
        <v>0</v>
      </c>
      <c r="BT157" s="15"/>
      <c r="BV157" s="13">
        <f t="shared" si="41"/>
        <v>0</v>
      </c>
      <c r="BX157" s="14"/>
      <c r="BY157" s="8"/>
      <c r="BZ157" s="13">
        <f t="shared" si="42"/>
        <v>0</v>
      </c>
      <c r="CB157" s="15"/>
      <c r="CD157" s="8"/>
      <c r="CE157" s="13">
        <f t="shared" si="43"/>
        <v>0</v>
      </c>
      <c r="CG157" s="9"/>
      <c r="CH157" s="13">
        <f t="shared" si="44"/>
        <v>0</v>
      </c>
      <c r="CI157" s="16">
        <f t="shared" si="45"/>
        <v>0</v>
      </c>
      <c r="CK157" s="8">
        <f t="shared" si="49"/>
        <v>0</v>
      </c>
      <c r="CL157" s="13">
        <f t="shared" si="50"/>
        <v>0</v>
      </c>
      <c r="CM157" s="13">
        <f t="shared" si="51"/>
        <v>0</v>
      </c>
      <c r="CO157" s="14">
        <f t="shared" si="48"/>
        <v>0</v>
      </c>
      <c r="CP157" s="8">
        <f t="shared" si="46"/>
        <v>0</v>
      </c>
      <c r="CQ157" s="13">
        <f t="shared" si="52"/>
        <v>0</v>
      </c>
      <c r="CR157" s="17" t="str">
        <f t="shared" si="47"/>
        <v>nenhuma</v>
      </c>
      <c r="CS157" s="13">
        <f t="shared" si="53"/>
        <v>0</v>
      </c>
    </row>
    <row r="158" spans="1:97" x14ac:dyDescent="0.25">
      <c r="A158" s="7">
        <v>154</v>
      </c>
      <c r="B158" s="41"/>
      <c r="C158" s="41"/>
      <c r="D158" s="41"/>
      <c r="E158" s="41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P158" s="10">
        <f t="shared" si="40"/>
        <v>0</v>
      </c>
      <c r="BR158" s="11">
        <v>0</v>
      </c>
      <c r="BT158" s="15"/>
      <c r="BV158" s="13">
        <f t="shared" si="41"/>
        <v>0</v>
      </c>
      <c r="BX158" s="14"/>
      <c r="BY158" s="8"/>
      <c r="BZ158" s="13">
        <f t="shared" si="42"/>
        <v>0</v>
      </c>
      <c r="CB158" s="15"/>
      <c r="CD158" s="8"/>
      <c r="CE158" s="13">
        <f t="shared" si="43"/>
        <v>0</v>
      </c>
      <c r="CG158" s="9"/>
      <c r="CH158" s="13">
        <f t="shared" si="44"/>
        <v>0</v>
      </c>
      <c r="CI158" s="16">
        <f t="shared" si="45"/>
        <v>0</v>
      </c>
      <c r="CK158" s="8">
        <f t="shared" si="49"/>
        <v>0</v>
      </c>
      <c r="CL158" s="13">
        <f t="shared" si="50"/>
        <v>0</v>
      </c>
      <c r="CM158" s="13">
        <f t="shared" si="51"/>
        <v>0</v>
      </c>
      <c r="CO158" s="14">
        <f t="shared" si="48"/>
        <v>0</v>
      </c>
      <c r="CP158" s="8">
        <f t="shared" si="46"/>
        <v>0</v>
      </c>
      <c r="CQ158" s="13">
        <f t="shared" si="52"/>
        <v>0</v>
      </c>
      <c r="CR158" s="17" t="str">
        <f t="shared" si="47"/>
        <v>nenhuma</v>
      </c>
      <c r="CS158" s="13">
        <f t="shared" si="53"/>
        <v>0</v>
      </c>
    </row>
    <row r="159" spans="1:97" x14ac:dyDescent="0.25">
      <c r="A159" s="7">
        <v>155</v>
      </c>
      <c r="B159" s="41"/>
      <c r="C159" s="41"/>
      <c r="D159" s="41"/>
      <c r="E159" s="41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P159" s="10">
        <f t="shared" si="40"/>
        <v>0</v>
      </c>
      <c r="BR159" s="11">
        <v>0</v>
      </c>
      <c r="BT159" s="15"/>
      <c r="BV159" s="13">
        <f t="shared" si="41"/>
        <v>0</v>
      </c>
      <c r="BX159" s="14"/>
      <c r="BY159" s="8"/>
      <c r="BZ159" s="13">
        <f t="shared" si="42"/>
        <v>0</v>
      </c>
      <c r="CB159" s="15"/>
      <c r="CD159" s="8"/>
      <c r="CE159" s="13">
        <f t="shared" si="43"/>
        <v>0</v>
      </c>
      <c r="CG159" s="9"/>
      <c r="CH159" s="13">
        <f t="shared" si="44"/>
        <v>0</v>
      </c>
      <c r="CI159" s="16">
        <f t="shared" si="45"/>
        <v>0</v>
      </c>
      <c r="CK159" s="8">
        <f t="shared" si="49"/>
        <v>0</v>
      </c>
      <c r="CL159" s="13">
        <f t="shared" si="50"/>
        <v>0</v>
      </c>
      <c r="CM159" s="13">
        <f t="shared" si="51"/>
        <v>0</v>
      </c>
      <c r="CO159" s="14">
        <f t="shared" si="48"/>
        <v>0</v>
      </c>
      <c r="CP159" s="8">
        <f t="shared" si="46"/>
        <v>0</v>
      </c>
      <c r="CQ159" s="13">
        <f t="shared" si="52"/>
        <v>0</v>
      </c>
      <c r="CR159" s="17" t="str">
        <f t="shared" si="47"/>
        <v>nenhuma</v>
      </c>
      <c r="CS159" s="13">
        <f t="shared" si="53"/>
        <v>0</v>
      </c>
    </row>
    <row r="160" spans="1:97" x14ac:dyDescent="0.25">
      <c r="A160" s="7">
        <v>156</v>
      </c>
      <c r="B160" s="41"/>
      <c r="C160" s="41"/>
      <c r="D160" s="41"/>
      <c r="E160" s="41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P160" s="10">
        <f t="shared" si="40"/>
        <v>0</v>
      </c>
      <c r="BR160" s="11">
        <v>0</v>
      </c>
      <c r="BT160" s="15"/>
      <c r="BV160" s="13">
        <f t="shared" si="41"/>
        <v>0</v>
      </c>
      <c r="BX160" s="14"/>
      <c r="BY160" s="8"/>
      <c r="BZ160" s="13">
        <f t="shared" si="42"/>
        <v>0</v>
      </c>
      <c r="CB160" s="15"/>
      <c r="CD160" s="8"/>
      <c r="CE160" s="13">
        <f t="shared" si="43"/>
        <v>0</v>
      </c>
      <c r="CG160" s="9"/>
      <c r="CH160" s="13">
        <f t="shared" si="44"/>
        <v>0</v>
      </c>
      <c r="CI160" s="16">
        <f t="shared" si="45"/>
        <v>0</v>
      </c>
      <c r="CK160" s="8">
        <f t="shared" si="49"/>
        <v>0</v>
      </c>
      <c r="CL160" s="13">
        <f t="shared" si="50"/>
        <v>0</v>
      </c>
      <c r="CM160" s="13">
        <f t="shared" si="51"/>
        <v>0</v>
      </c>
      <c r="CO160" s="14">
        <f t="shared" si="48"/>
        <v>0</v>
      </c>
      <c r="CP160" s="8">
        <f t="shared" si="46"/>
        <v>0</v>
      </c>
      <c r="CQ160" s="13">
        <f t="shared" si="52"/>
        <v>0</v>
      </c>
      <c r="CR160" s="17" t="str">
        <f t="shared" si="47"/>
        <v>nenhuma</v>
      </c>
      <c r="CS160" s="13">
        <f t="shared" si="53"/>
        <v>0</v>
      </c>
    </row>
    <row r="161" spans="1:97" x14ac:dyDescent="0.25">
      <c r="A161" s="7">
        <v>157</v>
      </c>
      <c r="B161" s="41"/>
      <c r="C161" s="41"/>
      <c r="D161" s="41"/>
      <c r="E161" s="41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P161" s="10">
        <f t="shared" si="40"/>
        <v>0</v>
      </c>
      <c r="BR161" s="11">
        <v>0</v>
      </c>
      <c r="BT161" s="15"/>
      <c r="BV161" s="13">
        <f t="shared" si="41"/>
        <v>0</v>
      </c>
      <c r="BX161" s="14"/>
      <c r="BY161" s="8"/>
      <c r="BZ161" s="13">
        <f t="shared" si="42"/>
        <v>0</v>
      </c>
      <c r="CB161" s="15"/>
      <c r="CD161" s="8"/>
      <c r="CE161" s="13">
        <f t="shared" si="43"/>
        <v>0</v>
      </c>
      <c r="CG161" s="9"/>
      <c r="CH161" s="13">
        <f t="shared" si="44"/>
        <v>0</v>
      </c>
      <c r="CI161" s="16">
        <f t="shared" si="45"/>
        <v>0</v>
      </c>
      <c r="CK161" s="8">
        <f t="shared" si="49"/>
        <v>0</v>
      </c>
      <c r="CL161" s="13">
        <f t="shared" si="50"/>
        <v>0</v>
      </c>
      <c r="CM161" s="13">
        <f t="shared" si="51"/>
        <v>0</v>
      </c>
      <c r="CO161" s="14">
        <f t="shared" si="48"/>
        <v>0</v>
      </c>
      <c r="CP161" s="8">
        <f t="shared" si="46"/>
        <v>0</v>
      </c>
      <c r="CQ161" s="13">
        <f t="shared" si="52"/>
        <v>0</v>
      </c>
      <c r="CR161" s="17" t="str">
        <f t="shared" si="47"/>
        <v>nenhuma</v>
      </c>
      <c r="CS161" s="13">
        <f t="shared" si="53"/>
        <v>0</v>
      </c>
    </row>
    <row r="162" spans="1:97" x14ac:dyDescent="0.25">
      <c r="A162" s="7">
        <v>158</v>
      </c>
      <c r="B162" s="41"/>
      <c r="C162" s="41"/>
      <c r="D162" s="41"/>
      <c r="E162" s="41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P162" s="10">
        <f t="shared" si="40"/>
        <v>0</v>
      </c>
      <c r="BR162" s="11">
        <v>0</v>
      </c>
      <c r="BT162" s="15"/>
      <c r="BV162" s="13">
        <f t="shared" si="41"/>
        <v>0</v>
      </c>
      <c r="BX162" s="14"/>
      <c r="BY162" s="8"/>
      <c r="BZ162" s="13">
        <f t="shared" si="42"/>
        <v>0</v>
      </c>
      <c r="CB162" s="15"/>
      <c r="CD162" s="8"/>
      <c r="CE162" s="13">
        <f t="shared" si="43"/>
        <v>0</v>
      </c>
      <c r="CG162" s="9"/>
      <c r="CH162" s="13">
        <f t="shared" si="44"/>
        <v>0</v>
      </c>
      <c r="CI162" s="16">
        <f t="shared" si="45"/>
        <v>0</v>
      </c>
      <c r="CK162" s="8">
        <f t="shared" si="49"/>
        <v>0</v>
      </c>
      <c r="CL162" s="13">
        <f t="shared" si="50"/>
        <v>0</v>
      </c>
      <c r="CM162" s="13">
        <f t="shared" si="51"/>
        <v>0</v>
      </c>
      <c r="CO162" s="14">
        <f t="shared" si="48"/>
        <v>0</v>
      </c>
      <c r="CP162" s="8">
        <f t="shared" si="46"/>
        <v>0</v>
      </c>
      <c r="CQ162" s="13">
        <f t="shared" si="52"/>
        <v>0</v>
      </c>
      <c r="CR162" s="17" t="str">
        <f t="shared" si="47"/>
        <v>nenhuma</v>
      </c>
      <c r="CS162" s="13">
        <f t="shared" si="53"/>
        <v>0</v>
      </c>
    </row>
    <row r="163" spans="1:97" x14ac:dyDescent="0.25">
      <c r="A163" s="7">
        <v>159</v>
      </c>
      <c r="B163" s="41"/>
      <c r="C163" s="41"/>
      <c r="D163" s="41"/>
      <c r="E163" s="41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P163" s="10">
        <f t="shared" si="40"/>
        <v>0</v>
      </c>
      <c r="BR163" s="11">
        <v>0</v>
      </c>
      <c r="BT163" s="15"/>
      <c r="BV163" s="13">
        <f t="shared" si="41"/>
        <v>0</v>
      </c>
      <c r="BX163" s="14"/>
      <c r="BY163" s="8"/>
      <c r="BZ163" s="13">
        <f t="shared" si="42"/>
        <v>0</v>
      </c>
      <c r="CB163" s="15"/>
      <c r="CD163" s="8"/>
      <c r="CE163" s="13">
        <f t="shared" si="43"/>
        <v>0</v>
      </c>
      <c r="CG163" s="9"/>
      <c r="CH163" s="13">
        <f t="shared" si="44"/>
        <v>0</v>
      </c>
      <c r="CI163" s="16">
        <f t="shared" si="45"/>
        <v>0</v>
      </c>
      <c r="CK163" s="8">
        <f t="shared" si="49"/>
        <v>0</v>
      </c>
      <c r="CL163" s="13">
        <f t="shared" si="50"/>
        <v>0</v>
      </c>
      <c r="CM163" s="13">
        <f t="shared" si="51"/>
        <v>0</v>
      </c>
      <c r="CO163" s="14">
        <f t="shared" si="48"/>
        <v>0</v>
      </c>
      <c r="CP163" s="8">
        <f t="shared" si="46"/>
        <v>0</v>
      </c>
      <c r="CQ163" s="13">
        <f t="shared" si="52"/>
        <v>0</v>
      </c>
      <c r="CR163" s="17" t="str">
        <f t="shared" si="47"/>
        <v>nenhuma</v>
      </c>
      <c r="CS163" s="13">
        <f t="shared" si="53"/>
        <v>0</v>
      </c>
    </row>
    <row r="164" spans="1:97" x14ac:dyDescent="0.25">
      <c r="A164" s="7">
        <v>160</v>
      </c>
      <c r="B164" s="41"/>
      <c r="C164" s="41"/>
      <c r="D164" s="41"/>
      <c r="E164" s="41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P164" s="10">
        <f t="shared" si="40"/>
        <v>0</v>
      </c>
      <c r="BR164" s="11">
        <v>0</v>
      </c>
      <c r="BT164" s="15"/>
      <c r="BV164" s="13">
        <f t="shared" si="41"/>
        <v>0</v>
      </c>
      <c r="BX164" s="14"/>
      <c r="BY164" s="8"/>
      <c r="BZ164" s="13">
        <f t="shared" si="42"/>
        <v>0</v>
      </c>
      <c r="CB164" s="15"/>
      <c r="CD164" s="8"/>
      <c r="CE164" s="13">
        <f t="shared" si="43"/>
        <v>0</v>
      </c>
      <c r="CG164" s="9"/>
      <c r="CH164" s="13">
        <f t="shared" si="44"/>
        <v>0</v>
      </c>
      <c r="CI164" s="16">
        <f t="shared" si="45"/>
        <v>0</v>
      </c>
      <c r="CK164" s="8">
        <f t="shared" si="49"/>
        <v>0</v>
      </c>
      <c r="CL164" s="13">
        <f t="shared" si="50"/>
        <v>0</v>
      </c>
      <c r="CM164" s="13">
        <f t="shared" si="51"/>
        <v>0</v>
      </c>
      <c r="CO164" s="14">
        <f t="shared" si="48"/>
        <v>0</v>
      </c>
      <c r="CP164" s="8">
        <f t="shared" si="46"/>
        <v>0</v>
      </c>
      <c r="CQ164" s="13">
        <f t="shared" si="52"/>
        <v>0</v>
      </c>
      <c r="CR164" s="17" t="str">
        <f t="shared" si="47"/>
        <v>nenhuma</v>
      </c>
      <c r="CS164" s="13">
        <f t="shared" si="53"/>
        <v>0</v>
      </c>
    </row>
    <row r="165" spans="1:97" x14ac:dyDescent="0.25">
      <c r="A165" s="7">
        <v>161</v>
      </c>
      <c r="B165" s="41"/>
      <c r="C165" s="41"/>
      <c r="D165" s="41"/>
      <c r="E165" s="41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P165" s="10">
        <f t="shared" si="40"/>
        <v>0</v>
      </c>
      <c r="BR165" s="11">
        <v>0</v>
      </c>
      <c r="BT165" s="15"/>
      <c r="BV165" s="13">
        <f t="shared" si="41"/>
        <v>0</v>
      </c>
      <c r="BX165" s="14"/>
      <c r="BY165" s="8"/>
      <c r="BZ165" s="13">
        <f t="shared" si="42"/>
        <v>0</v>
      </c>
      <c r="CB165" s="15"/>
      <c r="CD165" s="8"/>
      <c r="CE165" s="13">
        <f t="shared" si="43"/>
        <v>0</v>
      </c>
      <c r="CG165" s="9"/>
      <c r="CH165" s="13">
        <f t="shared" si="44"/>
        <v>0</v>
      </c>
      <c r="CI165" s="16">
        <f t="shared" si="45"/>
        <v>0</v>
      </c>
      <c r="CK165" s="8">
        <f t="shared" si="49"/>
        <v>0</v>
      </c>
      <c r="CL165" s="13">
        <f t="shared" si="50"/>
        <v>0</v>
      </c>
      <c r="CM165" s="13">
        <f t="shared" si="51"/>
        <v>0</v>
      </c>
      <c r="CO165" s="14">
        <f t="shared" si="48"/>
        <v>0</v>
      </c>
      <c r="CP165" s="8">
        <f t="shared" si="46"/>
        <v>0</v>
      </c>
      <c r="CQ165" s="13">
        <f t="shared" si="52"/>
        <v>0</v>
      </c>
      <c r="CR165" s="17" t="str">
        <f t="shared" si="47"/>
        <v>nenhuma</v>
      </c>
      <c r="CS165" s="13">
        <f t="shared" si="53"/>
        <v>0</v>
      </c>
    </row>
    <row r="166" spans="1:97" x14ac:dyDescent="0.25">
      <c r="A166" s="7">
        <v>162</v>
      </c>
      <c r="B166" s="41"/>
      <c r="C166" s="41"/>
      <c r="D166" s="41"/>
      <c r="E166" s="41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P166" s="10">
        <f t="shared" si="40"/>
        <v>0</v>
      </c>
      <c r="BR166" s="11">
        <v>0</v>
      </c>
      <c r="BT166" s="15"/>
      <c r="BV166" s="13">
        <f t="shared" si="41"/>
        <v>0</v>
      </c>
      <c r="BX166" s="14"/>
      <c r="BY166" s="8"/>
      <c r="BZ166" s="13">
        <f t="shared" si="42"/>
        <v>0</v>
      </c>
      <c r="CB166" s="15"/>
      <c r="CD166" s="8"/>
      <c r="CE166" s="13">
        <f t="shared" si="43"/>
        <v>0</v>
      </c>
      <c r="CG166" s="9"/>
      <c r="CH166" s="13">
        <f t="shared" si="44"/>
        <v>0</v>
      </c>
      <c r="CI166" s="16">
        <f t="shared" si="45"/>
        <v>0</v>
      </c>
      <c r="CK166" s="8">
        <f t="shared" si="49"/>
        <v>0</v>
      </c>
      <c r="CL166" s="13">
        <f t="shared" si="50"/>
        <v>0</v>
      </c>
      <c r="CM166" s="13">
        <f t="shared" si="51"/>
        <v>0</v>
      </c>
      <c r="CO166" s="14">
        <f t="shared" si="48"/>
        <v>0</v>
      </c>
      <c r="CP166" s="8">
        <f t="shared" si="46"/>
        <v>0</v>
      </c>
      <c r="CQ166" s="13">
        <f t="shared" si="52"/>
        <v>0</v>
      </c>
      <c r="CR166" s="17" t="str">
        <f t="shared" si="47"/>
        <v>nenhuma</v>
      </c>
      <c r="CS166" s="13">
        <f t="shared" si="53"/>
        <v>0</v>
      </c>
    </row>
    <row r="167" spans="1:97" x14ac:dyDescent="0.25">
      <c r="A167" s="7">
        <v>163</v>
      </c>
      <c r="B167" s="41"/>
      <c r="C167" s="41"/>
      <c r="D167" s="41"/>
      <c r="E167" s="41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P167" s="10">
        <f t="shared" si="40"/>
        <v>0</v>
      </c>
      <c r="BR167" s="11">
        <v>0</v>
      </c>
      <c r="BT167" s="15"/>
      <c r="BV167" s="13">
        <f t="shared" si="41"/>
        <v>0</v>
      </c>
      <c r="BX167" s="14"/>
      <c r="BY167" s="8"/>
      <c r="BZ167" s="13">
        <f t="shared" si="42"/>
        <v>0</v>
      </c>
      <c r="CB167" s="15"/>
      <c r="CD167" s="8"/>
      <c r="CE167" s="13">
        <f t="shared" si="43"/>
        <v>0</v>
      </c>
      <c r="CG167" s="9"/>
      <c r="CH167" s="13">
        <f t="shared" si="44"/>
        <v>0</v>
      </c>
      <c r="CI167" s="16">
        <f t="shared" si="45"/>
        <v>0</v>
      </c>
      <c r="CK167" s="8">
        <f t="shared" si="49"/>
        <v>0</v>
      </c>
      <c r="CL167" s="13">
        <f t="shared" si="50"/>
        <v>0</v>
      </c>
      <c r="CM167" s="13">
        <f t="shared" si="51"/>
        <v>0</v>
      </c>
      <c r="CO167" s="14">
        <f t="shared" si="48"/>
        <v>0</v>
      </c>
      <c r="CP167" s="8">
        <f t="shared" si="46"/>
        <v>0</v>
      </c>
      <c r="CQ167" s="13">
        <f t="shared" si="52"/>
        <v>0</v>
      </c>
      <c r="CR167" s="17" t="str">
        <f t="shared" si="47"/>
        <v>nenhuma</v>
      </c>
      <c r="CS167" s="13">
        <f t="shared" si="53"/>
        <v>0</v>
      </c>
    </row>
    <row r="168" spans="1:97" x14ac:dyDescent="0.25">
      <c r="A168" s="7">
        <v>164</v>
      </c>
      <c r="B168" s="41"/>
      <c r="C168" s="41"/>
      <c r="D168" s="41"/>
      <c r="E168" s="41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P168" s="10">
        <f t="shared" si="40"/>
        <v>0</v>
      </c>
      <c r="BR168" s="11">
        <v>0</v>
      </c>
      <c r="BT168" s="15"/>
      <c r="BV168" s="13">
        <f t="shared" si="41"/>
        <v>0</v>
      </c>
      <c r="BX168" s="14"/>
      <c r="BY168" s="8"/>
      <c r="BZ168" s="13">
        <f t="shared" si="42"/>
        <v>0</v>
      </c>
      <c r="CB168" s="15"/>
      <c r="CD168" s="8"/>
      <c r="CE168" s="13">
        <f t="shared" si="43"/>
        <v>0</v>
      </c>
      <c r="CG168" s="9"/>
      <c r="CH168" s="13">
        <f t="shared" si="44"/>
        <v>0</v>
      </c>
      <c r="CI168" s="16">
        <f t="shared" si="45"/>
        <v>0</v>
      </c>
      <c r="CK168" s="8">
        <f t="shared" si="49"/>
        <v>0</v>
      </c>
      <c r="CL168" s="13">
        <f t="shared" si="50"/>
        <v>0</v>
      </c>
      <c r="CM168" s="13">
        <f t="shared" si="51"/>
        <v>0</v>
      </c>
      <c r="CO168" s="14">
        <f t="shared" si="48"/>
        <v>0</v>
      </c>
      <c r="CP168" s="8">
        <f t="shared" si="46"/>
        <v>0</v>
      </c>
      <c r="CQ168" s="13">
        <f t="shared" si="52"/>
        <v>0</v>
      </c>
      <c r="CR168" s="17" t="str">
        <f t="shared" si="47"/>
        <v>nenhuma</v>
      </c>
      <c r="CS168" s="13">
        <f t="shared" si="53"/>
        <v>0</v>
      </c>
    </row>
    <row r="169" spans="1:97" x14ac:dyDescent="0.25">
      <c r="A169" s="7">
        <v>165</v>
      </c>
      <c r="B169" s="41"/>
      <c r="C169" s="41"/>
      <c r="D169" s="41"/>
      <c r="E169" s="41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P169" s="10">
        <f t="shared" si="40"/>
        <v>0</v>
      </c>
      <c r="BR169" s="11">
        <v>0</v>
      </c>
      <c r="BT169" s="15"/>
      <c r="BV169" s="13">
        <f t="shared" si="41"/>
        <v>0</v>
      </c>
      <c r="BX169" s="14"/>
      <c r="BY169" s="8"/>
      <c r="BZ169" s="13">
        <f t="shared" si="42"/>
        <v>0</v>
      </c>
      <c r="CB169" s="15"/>
      <c r="CD169" s="8"/>
      <c r="CE169" s="13">
        <f t="shared" si="43"/>
        <v>0</v>
      </c>
      <c r="CG169" s="9"/>
      <c r="CH169" s="13">
        <f t="shared" si="44"/>
        <v>0</v>
      </c>
      <c r="CI169" s="16">
        <f t="shared" si="45"/>
        <v>0</v>
      </c>
      <c r="CK169" s="8">
        <f t="shared" si="49"/>
        <v>0</v>
      </c>
      <c r="CL169" s="13">
        <f t="shared" si="50"/>
        <v>0</v>
      </c>
      <c r="CM169" s="13">
        <f t="shared" si="51"/>
        <v>0</v>
      </c>
      <c r="CO169" s="14">
        <f t="shared" si="48"/>
        <v>0</v>
      </c>
      <c r="CP169" s="8">
        <f t="shared" si="46"/>
        <v>0</v>
      </c>
      <c r="CQ169" s="13">
        <f t="shared" si="52"/>
        <v>0</v>
      </c>
      <c r="CR169" s="17" t="str">
        <f t="shared" si="47"/>
        <v>nenhuma</v>
      </c>
      <c r="CS169" s="13">
        <f t="shared" si="53"/>
        <v>0</v>
      </c>
    </row>
    <row r="170" spans="1:97" x14ac:dyDescent="0.25">
      <c r="A170" s="7">
        <v>166</v>
      </c>
      <c r="B170" s="41"/>
      <c r="C170" s="41"/>
      <c r="D170" s="41"/>
      <c r="E170" s="41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P170" s="10">
        <f t="shared" si="40"/>
        <v>0</v>
      </c>
      <c r="BR170" s="11">
        <v>0</v>
      </c>
      <c r="BT170" s="15"/>
      <c r="BV170" s="13">
        <f t="shared" si="41"/>
        <v>0</v>
      </c>
      <c r="BX170" s="14"/>
      <c r="BY170" s="8"/>
      <c r="BZ170" s="13">
        <f t="shared" si="42"/>
        <v>0</v>
      </c>
      <c r="CB170" s="15"/>
      <c r="CD170" s="8"/>
      <c r="CE170" s="13">
        <f t="shared" si="43"/>
        <v>0</v>
      </c>
      <c r="CG170" s="9"/>
      <c r="CH170" s="13">
        <f t="shared" si="44"/>
        <v>0</v>
      </c>
      <c r="CI170" s="16">
        <f t="shared" si="45"/>
        <v>0</v>
      </c>
      <c r="CK170" s="8">
        <f t="shared" si="49"/>
        <v>0</v>
      </c>
      <c r="CL170" s="13">
        <f t="shared" si="50"/>
        <v>0</v>
      </c>
      <c r="CM170" s="13">
        <f t="shared" si="51"/>
        <v>0</v>
      </c>
      <c r="CO170" s="14">
        <f t="shared" si="48"/>
        <v>0</v>
      </c>
      <c r="CP170" s="8">
        <f t="shared" si="46"/>
        <v>0</v>
      </c>
      <c r="CQ170" s="13">
        <f t="shared" si="52"/>
        <v>0</v>
      </c>
      <c r="CR170" s="17" t="str">
        <f t="shared" si="47"/>
        <v>nenhuma</v>
      </c>
      <c r="CS170" s="13">
        <f t="shared" si="53"/>
        <v>0</v>
      </c>
    </row>
    <row r="171" spans="1:97" x14ac:dyDescent="0.25">
      <c r="A171" s="7">
        <v>167</v>
      </c>
      <c r="B171" s="41"/>
      <c r="C171" s="41"/>
      <c r="D171" s="41"/>
      <c r="E171" s="41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P171" s="10">
        <f t="shared" si="40"/>
        <v>0</v>
      </c>
      <c r="BR171" s="11">
        <v>0</v>
      </c>
      <c r="BT171" s="15"/>
      <c r="BV171" s="13">
        <f t="shared" si="41"/>
        <v>0</v>
      </c>
      <c r="BX171" s="14"/>
      <c r="BY171" s="8"/>
      <c r="BZ171" s="13">
        <f t="shared" si="42"/>
        <v>0</v>
      </c>
      <c r="CB171" s="15"/>
      <c r="CD171" s="8"/>
      <c r="CE171" s="13">
        <f t="shared" si="43"/>
        <v>0</v>
      </c>
      <c r="CG171" s="9"/>
      <c r="CH171" s="13">
        <f t="shared" si="44"/>
        <v>0</v>
      </c>
      <c r="CI171" s="16">
        <f t="shared" si="45"/>
        <v>0</v>
      </c>
      <c r="CK171" s="8">
        <f t="shared" si="49"/>
        <v>0</v>
      </c>
      <c r="CL171" s="13">
        <f t="shared" si="50"/>
        <v>0</v>
      </c>
      <c r="CM171" s="13">
        <f t="shared" si="51"/>
        <v>0</v>
      </c>
      <c r="CO171" s="14">
        <f t="shared" si="48"/>
        <v>0</v>
      </c>
      <c r="CP171" s="8">
        <f t="shared" si="46"/>
        <v>0</v>
      </c>
      <c r="CQ171" s="13">
        <f t="shared" si="52"/>
        <v>0</v>
      </c>
      <c r="CR171" s="17" t="str">
        <f t="shared" si="47"/>
        <v>nenhuma</v>
      </c>
      <c r="CS171" s="13">
        <f t="shared" si="53"/>
        <v>0</v>
      </c>
    </row>
    <row r="172" spans="1:97" x14ac:dyDescent="0.25">
      <c r="A172" s="7">
        <v>168</v>
      </c>
      <c r="B172" s="41"/>
      <c r="C172" s="41"/>
      <c r="D172" s="41"/>
      <c r="E172" s="41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P172" s="10">
        <f t="shared" si="40"/>
        <v>0</v>
      </c>
      <c r="BR172" s="11">
        <v>0</v>
      </c>
      <c r="BT172" s="15"/>
      <c r="BV172" s="13">
        <f t="shared" si="41"/>
        <v>0</v>
      </c>
      <c r="BX172" s="14"/>
      <c r="BY172" s="8"/>
      <c r="BZ172" s="13">
        <f t="shared" si="42"/>
        <v>0</v>
      </c>
      <c r="CB172" s="15"/>
      <c r="CD172" s="8"/>
      <c r="CE172" s="13">
        <f t="shared" si="43"/>
        <v>0</v>
      </c>
      <c r="CG172" s="9"/>
      <c r="CH172" s="13">
        <f t="shared" si="44"/>
        <v>0</v>
      </c>
      <c r="CI172" s="16">
        <f t="shared" si="45"/>
        <v>0</v>
      </c>
      <c r="CK172" s="8">
        <f t="shared" si="49"/>
        <v>0</v>
      </c>
      <c r="CL172" s="13">
        <f t="shared" si="50"/>
        <v>0</v>
      </c>
      <c r="CM172" s="13">
        <f t="shared" si="51"/>
        <v>0</v>
      </c>
      <c r="CO172" s="14">
        <f t="shared" si="48"/>
        <v>0</v>
      </c>
      <c r="CP172" s="8">
        <f t="shared" si="46"/>
        <v>0</v>
      </c>
      <c r="CQ172" s="13">
        <f t="shared" si="52"/>
        <v>0</v>
      </c>
      <c r="CR172" s="17" t="str">
        <f t="shared" si="47"/>
        <v>nenhuma</v>
      </c>
      <c r="CS172" s="13">
        <f t="shared" si="53"/>
        <v>0</v>
      </c>
    </row>
    <row r="173" spans="1:97" x14ac:dyDescent="0.25">
      <c r="A173" s="7">
        <v>169</v>
      </c>
      <c r="B173" s="41"/>
      <c r="C173" s="41"/>
      <c r="D173" s="41"/>
      <c r="E173" s="41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P173" s="10">
        <f t="shared" si="40"/>
        <v>0</v>
      </c>
      <c r="BR173" s="11">
        <v>0</v>
      </c>
      <c r="BT173" s="15"/>
      <c r="BV173" s="13">
        <f t="shared" si="41"/>
        <v>0</v>
      </c>
      <c r="BX173" s="14"/>
      <c r="BY173" s="8"/>
      <c r="BZ173" s="13">
        <f t="shared" si="42"/>
        <v>0</v>
      </c>
      <c r="CB173" s="15"/>
      <c r="CD173" s="8"/>
      <c r="CE173" s="13">
        <f t="shared" si="43"/>
        <v>0</v>
      </c>
      <c r="CG173" s="9"/>
      <c r="CH173" s="13">
        <f t="shared" si="44"/>
        <v>0</v>
      </c>
      <c r="CI173" s="16">
        <f t="shared" si="45"/>
        <v>0</v>
      </c>
      <c r="CK173" s="8">
        <f t="shared" si="49"/>
        <v>0</v>
      </c>
      <c r="CL173" s="13">
        <f t="shared" si="50"/>
        <v>0</v>
      </c>
      <c r="CM173" s="13">
        <f t="shared" si="51"/>
        <v>0</v>
      </c>
      <c r="CO173" s="14">
        <f t="shared" si="48"/>
        <v>0</v>
      </c>
      <c r="CP173" s="8">
        <f t="shared" si="46"/>
        <v>0</v>
      </c>
      <c r="CQ173" s="13">
        <f t="shared" si="52"/>
        <v>0</v>
      </c>
      <c r="CR173" s="17" t="str">
        <f t="shared" si="47"/>
        <v>nenhuma</v>
      </c>
      <c r="CS173" s="13">
        <f t="shared" si="53"/>
        <v>0</v>
      </c>
    </row>
    <row r="174" spans="1:97" x14ac:dyDescent="0.25">
      <c r="A174" s="7">
        <v>170</v>
      </c>
      <c r="B174" s="41"/>
      <c r="C174" s="41"/>
      <c r="D174" s="41"/>
      <c r="E174" s="41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P174" s="10">
        <f t="shared" si="40"/>
        <v>0</v>
      </c>
      <c r="BR174" s="11">
        <v>0</v>
      </c>
      <c r="BT174" s="15"/>
      <c r="BV174" s="13">
        <f t="shared" si="41"/>
        <v>0</v>
      </c>
      <c r="BX174" s="14"/>
      <c r="BY174" s="8"/>
      <c r="BZ174" s="13">
        <f t="shared" si="42"/>
        <v>0</v>
      </c>
      <c r="CB174" s="15"/>
      <c r="CD174" s="8"/>
      <c r="CE174" s="13">
        <f t="shared" si="43"/>
        <v>0</v>
      </c>
      <c r="CG174" s="9"/>
      <c r="CH174" s="13">
        <f t="shared" si="44"/>
        <v>0</v>
      </c>
      <c r="CI174" s="16">
        <f t="shared" si="45"/>
        <v>0</v>
      </c>
      <c r="CK174" s="8">
        <f t="shared" si="49"/>
        <v>0</v>
      </c>
      <c r="CL174" s="13">
        <f t="shared" si="50"/>
        <v>0</v>
      </c>
      <c r="CM174" s="13">
        <f t="shared" si="51"/>
        <v>0</v>
      </c>
      <c r="CO174" s="14">
        <f t="shared" si="48"/>
        <v>0</v>
      </c>
      <c r="CP174" s="8">
        <f t="shared" si="46"/>
        <v>0</v>
      </c>
      <c r="CQ174" s="13">
        <f t="shared" si="52"/>
        <v>0</v>
      </c>
      <c r="CR174" s="17" t="str">
        <f t="shared" si="47"/>
        <v>nenhuma</v>
      </c>
      <c r="CS174" s="13">
        <f t="shared" si="53"/>
        <v>0</v>
      </c>
    </row>
    <row r="175" spans="1:97" x14ac:dyDescent="0.25">
      <c r="A175" s="7">
        <v>171</v>
      </c>
      <c r="B175" s="41"/>
      <c r="C175" s="41"/>
      <c r="D175" s="41"/>
      <c r="E175" s="41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P175" s="10">
        <f t="shared" si="40"/>
        <v>0</v>
      </c>
      <c r="BR175" s="11">
        <v>0</v>
      </c>
      <c r="BT175" s="15"/>
      <c r="BV175" s="13">
        <f t="shared" si="41"/>
        <v>0</v>
      </c>
      <c r="BX175" s="14"/>
      <c r="BY175" s="8"/>
      <c r="BZ175" s="13">
        <f t="shared" si="42"/>
        <v>0</v>
      </c>
      <c r="CB175" s="15"/>
      <c r="CD175" s="8"/>
      <c r="CE175" s="13">
        <f t="shared" si="43"/>
        <v>0</v>
      </c>
      <c r="CG175" s="9"/>
      <c r="CH175" s="13">
        <f t="shared" si="44"/>
        <v>0</v>
      </c>
      <c r="CI175" s="16">
        <f t="shared" si="45"/>
        <v>0</v>
      </c>
      <c r="CK175" s="8">
        <f t="shared" si="49"/>
        <v>0</v>
      </c>
      <c r="CL175" s="13">
        <f t="shared" si="50"/>
        <v>0</v>
      </c>
      <c r="CM175" s="13">
        <f t="shared" si="51"/>
        <v>0</v>
      </c>
      <c r="CO175" s="14">
        <f t="shared" si="48"/>
        <v>0</v>
      </c>
      <c r="CP175" s="8">
        <f t="shared" si="46"/>
        <v>0</v>
      </c>
      <c r="CQ175" s="13">
        <f t="shared" si="52"/>
        <v>0</v>
      </c>
      <c r="CR175" s="17" t="str">
        <f t="shared" si="47"/>
        <v>nenhuma</v>
      </c>
      <c r="CS175" s="13">
        <f t="shared" si="53"/>
        <v>0</v>
      </c>
    </row>
    <row r="176" spans="1:97" x14ac:dyDescent="0.25">
      <c r="A176" s="7">
        <v>172</v>
      </c>
      <c r="B176" s="41"/>
      <c r="C176" s="41"/>
      <c r="D176" s="41"/>
      <c r="E176" s="41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P176" s="10">
        <f t="shared" si="40"/>
        <v>0</v>
      </c>
      <c r="BR176" s="11">
        <v>0</v>
      </c>
      <c r="BT176" s="15"/>
      <c r="BV176" s="13">
        <f t="shared" si="41"/>
        <v>0</v>
      </c>
      <c r="BX176" s="14"/>
      <c r="BY176" s="8"/>
      <c r="BZ176" s="13">
        <f t="shared" si="42"/>
        <v>0</v>
      </c>
      <c r="CB176" s="15"/>
      <c r="CD176" s="8"/>
      <c r="CE176" s="13">
        <f t="shared" si="43"/>
        <v>0</v>
      </c>
      <c r="CG176" s="9"/>
      <c r="CH176" s="13">
        <f t="shared" si="44"/>
        <v>0</v>
      </c>
      <c r="CI176" s="16">
        <f t="shared" si="45"/>
        <v>0</v>
      </c>
      <c r="CK176" s="8">
        <f t="shared" si="49"/>
        <v>0</v>
      </c>
      <c r="CL176" s="13">
        <f t="shared" si="50"/>
        <v>0</v>
      </c>
      <c r="CM176" s="13">
        <f t="shared" si="51"/>
        <v>0</v>
      </c>
      <c r="CO176" s="14">
        <f t="shared" si="48"/>
        <v>0</v>
      </c>
      <c r="CP176" s="8">
        <f t="shared" si="46"/>
        <v>0</v>
      </c>
      <c r="CQ176" s="13">
        <f t="shared" si="52"/>
        <v>0</v>
      </c>
      <c r="CR176" s="17" t="str">
        <f t="shared" si="47"/>
        <v>nenhuma</v>
      </c>
      <c r="CS176" s="13">
        <f t="shared" si="53"/>
        <v>0</v>
      </c>
    </row>
    <row r="177" spans="1:97" x14ac:dyDescent="0.25">
      <c r="A177" s="7">
        <v>173</v>
      </c>
      <c r="B177" s="41"/>
      <c r="C177" s="41"/>
      <c r="D177" s="41"/>
      <c r="E177" s="41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P177" s="10">
        <f t="shared" si="40"/>
        <v>0</v>
      </c>
      <c r="BR177" s="11">
        <v>0</v>
      </c>
      <c r="BT177" s="15"/>
      <c r="BV177" s="13">
        <f t="shared" si="41"/>
        <v>0</v>
      </c>
      <c r="BX177" s="14"/>
      <c r="BY177" s="8"/>
      <c r="BZ177" s="13">
        <f t="shared" si="42"/>
        <v>0</v>
      </c>
      <c r="CB177" s="15"/>
      <c r="CD177" s="8"/>
      <c r="CE177" s="13">
        <f t="shared" si="43"/>
        <v>0</v>
      </c>
      <c r="CG177" s="9"/>
      <c r="CH177" s="13">
        <f t="shared" si="44"/>
        <v>0</v>
      </c>
      <c r="CI177" s="16">
        <f t="shared" si="45"/>
        <v>0</v>
      </c>
      <c r="CK177" s="8">
        <f t="shared" si="49"/>
        <v>0</v>
      </c>
      <c r="CL177" s="13">
        <f t="shared" si="50"/>
        <v>0</v>
      </c>
      <c r="CM177" s="13">
        <f t="shared" si="51"/>
        <v>0</v>
      </c>
      <c r="CO177" s="14">
        <f t="shared" si="48"/>
        <v>0</v>
      </c>
      <c r="CP177" s="8">
        <f t="shared" si="46"/>
        <v>0</v>
      </c>
      <c r="CQ177" s="13">
        <f t="shared" si="52"/>
        <v>0</v>
      </c>
      <c r="CR177" s="17" t="str">
        <f t="shared" si="47"/>
        <v>nenhuma</v>
      </c>
      <c r="CS177" s="13">
        <f t="shared" si="53"/>
        <v>0</v>
      </c>
    </row>
    <row r="178" spans="1:97" x14ac:dyDescent="0.25">
      <c r="A178" s="7">
        <v>174</v>
      </c>
      <c r="B178" s="41"/>
      <c r="C178" s="41"/>
      <c r="D178" s="41"/>
      <c r="E178" s="41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P178" s="10">
        <f t="shared" si="40"/>
        <v>0</v>
      </c>
      <c r="BR178" s="11">
        <v>0</v>
      </c>
      <c r="BT178" s="15"/>
      <c r="BV178" s="13">
        <f t="shared" si="41"/>
        <v>0</v>
      </c>
      <c r="BX178" s="14"/>
      <c r="BY178" s="8"/>
      <c r="BZ178" s="13">
        <f t="shared" si="42"/>
        <v>0</v>
      </c>
      <c r="CB178" s="15"/>
      <c r="CD178" s="8"/>
      <c r="CE178" s="13">
        <f t="shared" si="43"/>
        <v>0</v>
      </c>
      <c r="CG178" s="9"/>
      <c r="CH178" s="13">
        <f t="shared" si="44"/>
        <v>0</v>
      </c>
      <c r="CI178" s="16">
        <f t="shared" si="45"/>
        <v>0</v>
      </c>
      <c r="CK178" s="8">
        <f t="shared" si="49"/>
        <v>0</v>
      </c>
      <c r="CL178" s="13">
        <f t="shared" si="50"/>
        <v>0</v>
      </c>
      <c r="CM178" s="13">
        <f t="shared" si="51"/>
        <v>0</v>
      </c>
      <c r="CO178" s="14">
        <f t="shared" si="48"/>
        <v>0</v>
      </c>
      <c r="CP178" s="8">
        <f t="shared" si="46"/>
        <v>0</v>
      </c>
      <c r="CQ178" s="13">
        <f t="shared" si="52"/>
        <v>0</v>
      </c>
      <c r="CR178" s="17" t="str">
        <f t="shared" si="47"/>
        <v>nenhuma</v>
      </c>
      <c r="CS178" s="13">
        <f t="shared" si="53"/>
        <v>0</v>
      </c>
    </row>
    <row r="179" spans="1:97" x14ac:dyDescent="0.25">
      <c r="A179" s="7">
        <v>175</v>
      </c>
      <c r="B179" s="41"/>
      <c r="C179" s="41"/>
      <c r="D179" s="41"/>
      <c r="E179" s="41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P179" s="10">
        <f t="shared" si="40"/>
        <v>0</v>
      </c>
      <c r="BR179" s="11">
        <v>0</v>
      </c>
      <c r="BT179" s="15"/>
      <c r="BV179" s="13">
        <f t="shared" si="41"/>
        <v>0</v>
      </c>
      <c r="BX179" s="14"/>
      <c r="BY179" s="8"/>
      <c r="BZ179" s="13">
        <f t="shared" si="42"/>
        <v>0</v>
      </c>
      <c r="CB179" s="15"/>
      <c r="CD179" s="8"/>
      <c r="CE179" s="13">
        <f t="shared" si="43"/>
        <v>0</v>
      </c>
      <c r="CG179" s="9"/>
      <c r="CH179" s="13">
        <f t="shared" si="44"/>
        <v>0</v>
      </c>
      <c r="CI179" s="16">
        <f t="shared" si="45"/>
        <v>0</v>
      </c>
      <c r="CK179" s="8">
        <f t="shared" si="49"/>
        <v>0</v>
      </c>
      <c r="CL179" s="13">
        <f t="shared" si="50"/>
        <v>0</v>
      </c>
      <c r="CM179" s="13">
        <f t="shared" si="51"/>
        <v>0</v>
      </c>
      <c r="CO179" s="14">
        <f t="shared" si="48"/>
        <v>0</v>
      </c>
      <c r="CP179" s="8">
        <f t="shared" si="46"/>
        <v>0</v>
      </c>
      <c r="CQ179" s="13">
        <f t="shared" si="52"/>
        <v>0</v>
      </c>
      <c r="CR179" s="17" t="str">
        <f t="shared" si="47"/>
        <v>nenhuma</v>
      </c>
      <c r="CS179" s="13">
        <f t="shared" si="53"/>
        <v>0</v>
      </c>
    </row>
    <row r="180" spans="1:97" x14ac:dyDescent="0.25">
      <c r="A180" s="7">
        <v>176</v>
      </c>
      <c r="B180" s="41"/>
      <c r="C180" s="41"/>
      <c r="D180" s="41"/>
      <c r="E180" s="41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P180" s="10">
        <f t="shared" si="40"/>
        <v>0</v>
      </c>
      <c r="BR180" s="11">
        <v>0</v>
      </c>
      <c r="BT180" s="15"/>
      <c r="BV180" s="13">
        <f t="shared" si="41"/>
        <v>0</v>
      </c>
      <c r="BX180" s="14"/>
      <c r="BY180" s="8"/>
      <c r="BZ180" s="13">
        <f t="shared" si="42"/>
        <v>0</v>
      </c>
      <c r="CB180" s="15"/>
      <c r="CD180" s="8"/>
      <c r="CE180" s="13">
        <f t="shared" si="43"/>
        <v>0</v>
      </c>
      <c r="CG180" s="9"/>
      <c r="CH180" s="13">
        <f t="shared" si="44"/>
        <v>0</v>
      </c>
      <c r="CI180" s="16">
        <f t="shared" si="45"/>
        <v>0</v>
      </c>
      <c r="CK180" s="8">
        <f t="shared" si="49"/>
        <v>0</v>
      </c>
      <c r="CL180" s="13">
        <f t="shared" si="50"/>
        <v>0</v>
      </c>
      <c r="CM180" s="13">
        <f t="shared" si="51"/>
        <v>0</v>
      </c>
      <c r="CO180" s="14">
        <f t="shared" si="48"/>
        <v>0</v>
      </c>
      <c r="CP180" s="8">
        <f t="shared" si="46"/>
        <v>0</v>
      </c>
      <c r="CQ180" s="13">
        <f t="shared" si="52"/>
        <v>0</v>
      </c>
      <c r="CR180" s="17" t="str">
        <f t="shared" si="47"/>
        <v>nenhuma</v>
      </c>
      <c r="CS180" s="13">
        <f t="shared" si="53"/>
        <v>0</v>
      </c>
    </row>
    <row r="181" spans="1:97" x14ac:dyDescent="0.25">
      <c r="A181" s="7">
        <v>177</v>
      </c>
      <c r="B181" s="41"/>
      <c r="C181" s="41"/>
      <c r="D181" s="41"/>
      <c r="E181" s="41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P181" s="10">
        <f t="shared" si="40"/>
        <v>0</v>
      </c>
      <c r="BR181" s="11">
        <v>0</v>
      </c>
      <c r="BT181" s="15"/>
      <c r="BV181" s="13">
        <f t="shared" si="41"/>
        <v>0</v>
      </c>
      <c r="BX181" s="14"/>
      <c r="BY181" s="8"/>
      <c r="BZ181" s="13">
        <f t="shared" si="42"/>
        <v>0</v>
      </c>
      <c r="CB181" s="15"/>
      <c r="CD181" s="8"/>
      <c r="CE181" s="13">
        <f t="shared" si="43"/>
        <v>0</v>
      </c>
      <c r="CG181" s="9"/>
      <c r="CH181" s="13">
        <f t="shared" si="44"/>
        <v>0</v>
      </c>
      <c r="CI181" s="16">
        <f t="shared" si="45"/>
        <v>0</v>
      </c>
      <c r="CK181" s="8">
        <f t="shared" si="49"/>
        <v>0</v>
      </c>
      <c r="CL181" s="13">
        <f t="shared" si="50"/>
        <v>0</v>
      </c>
      <c r="CM181" s="13">
        <f t="shared" si="51"/>
        <v>0</v>
      </c>
      <c r="CO181" s="14">
        <f t="shared" si="48"/>
        <v>0</v>
      </c>
      <c r="CP181" s="8">
        <f t="shared" si="46"/>
        <v>0</v>
      </c>
      <c r="CQ181" s="13">
        <f t="shared" si="52"/>
        <v>0</v>
      </c>
      <c r="CR181" s="17" t="str">
        <f t="shared" si="47"/>
        <v>nenhuma</v>
      </c>
      <c r="CS181" s="13">
        <f t="shared" si="53"/>
        <v>0</v>
      </c>
    </row>
    <row r="182" spans="1:97" x14ac:dyDescent="0.25">
      <c r="A182" s="7">
        <v>178</v>
      </c>
      <c r="B182" s="41"/>
      <c r="C182" s="41"/>
      <c r="D182" s="41"/>
      <c r="E182" s="41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P182" s="10">
        <f t="shared" si="40"/>
        <v>0</v>
      </c>
      <c r="BR182" s="11">
        <v>0</v>
      </c>
      <c r="BT182" s="15"/>
      <c r="BV182" s="13">
        <f t="shared" si="41"/>
        <v>0</v>
      </c>
      <c r="BX182" s="14"/>
      <c r="BY182" s="8"/>
      <c r="BZ182" s="13">
        <f t="shared" si="42"/>
        <v>0</v>
      </c>
      <c r="CB182" s="15"/>
      <c r="CD182" s="8"/>
      <c r="CE182" s="13">
        <f t="shared" si="43"/>
        <v>0</v>
      </c>
      <c r="CG182" s="9"/>
      <c r="CH182" s="13">
        <f t="shared" si="44"/>
        <v>0</v>
      </c>
      <c r="CI182" s="16">
        <f t="shared" si="45"/>
        <v>0</v>
      </c>
      <c r="CK182" s="8">
        <f t="shared" si="49"/>
        <v>0</v>
      </c>
      <c r="CL182" s="13">
        <f t="shared" si="50"/>
        <v>0</v>
      </c>
      <c r="CM182" s="13">
        <f t="shared" si="51"/>
        <v>0</v>
      </c>
      <c r="CO182" s="14">
        <f t="shared" si="48"/>
        <v>0</v>
      </c>
      <c r="CP182" s="8">
        <f t="shared" si="46"/>
        <v>0</v>
      </c>
      <c r="CQ182" s="13">
        <f t="shared" si="52"/>
        <v>0</v>
      </c>
      <c r="CR182" s="17" t="str">
        <f t="shared" si="47"/>
        <v>nenhuma</v>
      </c>
      <c r="CS182" s="13">
        <f t="shared" si="53"/>
        <v>0</v>
      </c>
    </row>
    <row r="183" spans="1:97" x14ac:dyDescent="0.25">
      <c r="A183" s="7">
        <v>179</v>
      </c>
      <c r="B183" s="41"/>
      <c r="C183" s="41"/>
      <c r="D183" s="41"/>
      <c r="E183" s="41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P183" s="10">
        <f t="shared" si="40"/>
        <v>0</v>
      </c>
      <c r="BR183" s="11">
        <v>0</v>
      </c>
      <c r="BT183" s="15"/>
      <c r="BV183" s="13">
        <f t="shared" si="41"/>
        <v>0</v>
      </c>
      <c r="BX183" s="14"/>
      <c r="BY183" s="8"/>
      <c r="BZ183" s="13">
        <f t="shared" si="42"/>
        <v>0</v>
      </c>
      <c r="CB183" s="15"/>
      <c r="CD183" s="8"/>
      <c r="CE183" s="13">
        <f t="shared" si="43"/>
        <v>0</v>
      </c>
      <c r="CG183" s="9"/>
      <c r="CH183" s="13">
        <f t="shared" si="44"/>
        <v>0</v>
      </c>
      <c r="CI183" s="16">
        <f t="shared" si="45"/>
        <v>0</v>
      </c>
      <c r="CK183" s="8">
        <f t="shared" si="49"/>
        <v>0</v>
      </c>
      <c r="CL183" s="13">
        <f t="shared" si="50"/>
        <v>0</v>
      </c>
      <c r="CM183" s="13">
        <f t="shared" si="51"/>
        <v>0</v>
      </c>
      <c r="CO183" s="14">
        <f t="shared" si="48"/>
        <v>0</v>
      </c>
      <c r="CP183" s="8">
        <f t="shared" si="46"/>
        <v>0</v>
      </c>
      <c r="CQ183" s="13">
        <f t="shared" si="52"/>
        <v>0</v>
      </c>
      <c r="CR183" s="17" t="str">
        <f t="shared" si="47"/>
        <v>nenhuma</v>
      </c>
      <c r="CS183" s="13">
        <f t="shared" si="53"/>
        <v>0</v>
      </c>
    </row>
    <row r="184" spans="1:97" x14ac:dyDescent="0.25">
      <c r="A184" s="7">
        <v>180</v>
      </c>
      <c r="B184" s="41"/>
      <c r="C184" s="41"/>
      <c r="D184" s="41"/>
      <c r="E184" s="41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P184" s="10">
        <f t="shared" si="40"/>
        <v>0</v>
      </c>
      <c r="BR184" s="11">
        <v>0</v>
      </c>
      <c r="BT184" s="15"/>
      <c r="BV184" s="13">
        <f t="shared" si="41"/>
        <v>0</v>
      </c>
      <c r="BX184" s="14"/>
      <c r="BY184" s="8"/>
      <c r="BZ184" s="13">
        <f t="shared" si="42"/>
        <v>0</v>
      </c>
      <c r="CB184" s="15"/>
      <c r="CD184" s="8"/>
      <c r="CE184" s="13">
        <f t="shared" si="43"/>
        <v>0</v>
      </c>
      <c r="CG184" s="9"/>
      <c r="CH184" s="13">
        <f t="shared" si="44"/>
        <v>0</v>
      </c>
      <c r="CI184" s="16">
        <f t="shared" si="45"/>
        <v>0</v>
      </c>
      <c r="CK184" s="8">
        <f t="shared" si="49"/>
        <v>0</v>
      </c>
      <c r="CL184" s="13">
        <f t="shared" si="50"/>
        <v>0</v>
      </c>
      <c r="CM184" s="13">
        <f t="shared" si="51"/>
        <v>0</v>
      </c>
      <c r="CO184" s="14">
        <f t="shared" si="48"/>
        <v>0</v>
      </c>
      <c r="CP184" s="8">
        <f t="shared" si="46"/>
        <v>0</v>
      </c>
      <c r="CQ184" s="13">
        <f t="shared" si="52"/>
        <v>0</v>
      </c>
      <c r="CR184" s="17" t="str">
        <f t="shared" si="47"/>
        <v>nenhuma</v>
      </c>
      <c r="CS184" s="13">
        <f t="shared" si="53"/>
        <v>0</v>
      </c>
    </row>
    <row r="185" spans="1:97" x14ac:dyDescent="0.25">
      <c r="A185" s="7">
        <v>181</v>
      </c>
      <c r="B185" s="41"/>
      <c r="C185" s="41"/>
      <c r="D185" s="41"/>
      <c r="E185" s="41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P185" s="10">
        <f t="shared" si="40"/>
        <v>0</v>
      </c>
      <c r="BR185" s="11">
        <v>0</v>
      </c>
      <c r="BT185" s="15"/>
      <c r="BV185" s="13">
        <f t="shared" si="41"/>
        <v>0</v>
      </c>
      <c r="BX185" s="14"/>
      <c r="BY185" s="8"/>
      <c r="BZ185" s="13">
        <f t="shared" si="42"/>
        <v>0</v>
      </c>
      <c r="CB185" s="15"/>
      <c r="CD185" s="8"/>
      <c r="CE185" s="13">
        <f t="shared" si="43"/>
        <v>0</v>
      </c>
      <c r="CG185" s="9"/>
      <c r="CH185" s="13">
        <f t="shared" si="44"/>
        <v>0</v>
      </c>
      <c r="CI185" s="16">
        <f t="shared" si="45"/>
        <v>0</v>
      </c>
      <c r="CK185" s="8">
        <f t="shared" si="49"/>
        <v>0</v>
      </c>
      <c r="CL185" s="13">
        <f t="shared" si="50"/>
        <v>0</v>
      </c>
      <c r="CM185" s="13">
        <f t="shared" si="51"/>
        <v>0</v>
      </c>
      <c r="CO185" s="14">
        <f t="shared" si="48"/>
        <v>0</v>
      </c>
      <c r="CP185" s="8">
        <f t="shared" si="46"/>
        <v>0</v>
      </c>
      <c r="CQ185" s="13">
        <f t="shared" si="52"/>
        <v>0</v>
      </c>
      <c r="CR185" s="17" t="str">
        <f t="shared" si="47"/>
        <v>nenhuma</v>
      </c>
      <c r="CS185" s="13">
        <f t="shared" si="53"/>
        <v>0</v>
      </c>
    </row>
    <row r="186" spans="1:97" x14ac:dyDescent="0.25">
      <c r="A186" s="7">
        <v>182</v>
      </c>
      <c r="B186" s="41"/>
      <c r="C186" s="41"/>
      <c r="D186" s="41"/>
      <c r="E186" s="41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P186" s="10">
        <f t="shared" si="40"/>
        <v>0</v>
      </c>
      <c r="BR186" s="11">
        <v>0</v>
      </c>
      <c r="BT186" s="15"/>
      <c r="BV186" s="13">
        <f t="shared" si="41"/>
        <v>0</v>
      </c>
      <c r="BX186" s="14"/>
      <c r="BY186" s="8"/>
      <c r="BZ186" s="13">
        <f t="shared" si="42"/>
        <v>0</v>
      </c>
      <c r="CB186" s="15"/>
      <c r="CD186" s="8"/>
      <c r="CE186" s="13">
        <f t="shared" si="43"/>
        <v>0</v>
      </c>
      <c r="CG186" s="9"/>
      <c r="CH186" s="13">
        <f t="shared" si="44"/>
        <v>0</v>
      </c>
      <c r="CI186" s="16">
        <f t="shared" si="45"/>
        <v>0</v>
      </c>
      <c r="CK186" s="8">
        <f t="shared" si="49"/>
        <v>0</v>
      </c>
      <c r="CL186" s="13">
        <f t="shared" si="50"/>
        <v>0</v>
      </c>
      <c r="CM186" s="13">
        <f t="shared" si="51"/>
        <v>0</v>
      </c>
      <c r="CO186" s="14">
        <f t="shared" si="48"/>
        <v>0</v>
      </c>
      <c r="CP186" s="8">
        <f t="shared" si="46"/>
        <v>0</v>
      </c>
      <c r="CQ186" s="13">
        <f t="shared" si="52"/>
        <v>0</v>
      </c>
      <c r="CR186" s="17" t="str">
        <f t="shared" si="47"/>
        <v>nenhuma</v>
      </c>
      <c r="CS186" s="13">
        <f t="shared" si="53"/>
        <v>0</v>
      </c>
    </row>
    <row r="187" spans="1:97" x14ac:dyDescent="0.25">
      <c r="A187" s="7">
        <v>183</v>
      </c>
      <c r="B187" s="41"/>
      <c r="C187" s="41"/>
      <c r="D187" s="41"/>
      <c r="E187" s="41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P187" s="10">
        <f t="shared" si="40"/>
        <v>0</v>
      </c>
      <c r="BR187" s="11">
        <v>0</v>
      </c>
      <c r="BT187" s="15"/>
      <c r="BV187" s="13">
        <f t="shared" si="41"/>
        <v>0</v>
      </c>
      <c r="BX187" s="14"/>
      <c r="BY187" s="8"/>
      <c r="BZ187" s="13">
        <f t="shared" si="42"/>
        <v>0</v>
      </c>
      <c r="CB187" s="15"/>
      <c r="CD187" s="8"/>
      <c r="CE187" s="13">
        <f t="shared" si="43"/>
        <v>0</v>
      </c>
      <c r="CG187" s="9"/>
      <c r="CH187" s="13">
        <f t="shared" si="44"/>
        <v>0</v>
      </c>
      <c r="CI187" s="16">
        <f t="shared" si="45"/>
        <v>0</v>
      </c>
      <c r="CK187" s="8">
        <f t="shared" ref="CK187:CK220" si="54">CD187</f>
        <v>0</v>
      </c>
      <c r="CL187" s="13">
        <f t="shared" ref="CL187:CL218" si="55">IF(CK187="","",SUMIF($CB$5:$CB$220,"="&amp;CK187,$CH$5:$CH$220))</f>
        <v>0</v>
      </c>
      <c r="CM187" s="13">
        <f t="shared" ref="CM187:CM218" si="56">IF(CE187&gt;=0,IF(CL187&gt;=0,CE187-CL187,0),0)</f>
        <v>0</v>
      </c>
      <c r="CO187" s="14">
        <f t="shared" si="48"/>
        <v>0</v>
      </c>
      <c r="CP187" s="8">
        <f t="shared" si="46"/>
        <v>0</v>
      </c>
      <c r="CQ187" s="13">
        <f t="shared" ref="CQ187:CQ218" si="57">IF(CO187="","",IF(CP187="",SUMIF($B$5:$B$220,"="&amp;CO187,$CH$5:$CH$220),SUMIFS($CH$5:$CH$220, $B$5:$B$220, "="&amp;CO187, $C$5:$C$220,"="&amp;CP187)))</f>
        <v>0</v>
      </c>
      <c r="CR187" s="17" t="str">
        <f t="shared" si="47"/>
        <v>nenhuma</v>
      </c>
      <c r="CS187" s="13">
        <f t="shared" ref="CS187:CS220" si="58">IF(BZ187&gt;0,IF(CQ187&gt;=0,BZ187-CQ187,0),0)</f>
        <v>0</v>
      </c>
    </row>
    <row r="188" spans="1:97" x14ac:dyDescent="0.25">
      <c r="A188" s="7">
        <v>184</v>
      </c>
      <c r="B188" s="41"/>
      <c r="C188" s="41"/>
      <c r="D188" s="41"/>
      <c r="E188" s="41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P188" s="10">
        <f t="shared" si="40"/>
        <v>0</v>
      </c>
      <c r="BR188" s="11">
        <v>0</v>
      </c>
      <c r="BT188" s="15"/>
      <c r="BV188" s="13">
        <f t="shared" si="41"/>
        <v>0</v>
      </c>
      <c r="BX188" s="14"/>
      <c r="BY188" s="8"/>
      <c r="BZ188" s="13">
        <f t="shared" si="42"/>
        <v>0</v>
      </c>
      <c r="CB188" s="15"/>
      <c r="CD188" s="8"/>
      <c r="CE188" s="13">
        <f t="shared" si="43"/>
        <v>0</v>
      </c>
      <c r="CG188" s="9"/>
      <c r="CH188" s="13">
        <f t="shared" si="44"/>
        <v>0</v>
      </c>
      <c r="CI188" s="16">
        <f t="shared" si="45"/>
        <v>0</v>
      </c>
      <c r="CK188" s="8">
        <f t="shared" si="54"/>
        <v>0</v>
      </c>
      <c r="CL188" s="13">
        <f t="shared" si="55"/>
        <v>0</v>
      </c>
      <c r="CM188" s="13">
        <f t="shared" si="56"/>
        <v>0</v>
      </c>
      <c r="CO188" s="14">
        <f t="shared" si="48"/>
        <v>0</v>
      </c>
      <c r="CP188" s="8">
        <f t="shared" si="46"/>
        <v>0</v>
      </c>
      <c r="CQ188" s="13">
        <f t="shared" si="57"/>
        <v>0</v>
      </c>
      <c r="CR188" s="17" t="str">
        <f t="shared" si="47"/>
        <v>nenhuma</v>
      </c>
      <c r="CS188" s="13">
        <f t="shared" si="58"/>
        <v>0</v>
      </c>
    </row>
    <row r="189" spans="1:97" x14ac:dyDescent="0.25">
      <c r="A189" s="7">
        <v>185</v>
      </c>
      <c r="B189" s="41"/>
      <c r="C189" s="41"/>
      <c r="D189" s="41"/>
      <c r="E189" s="41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P189" s="10">
        <f t="shared" si="40"/>
        <v>0</v>
      </c>
      <c r="BR189" s="11">
        <v>0</v>
      </c>
      <c r="BT189" s="15"/>
      <c r="BV189" s="13">
        <f t="shared" si="41"/>
        <v>0</v>
      </c>
      <c r="BX189" s="14"/>
      <c r="BY189" s="8"/>
      <c r="BZ189" s="13">
        <f t="shared" si="42"/>
        <v>0</v>
      </c>
      <c r="CB189" s="15"/>
      <c r="CD189" s="8"/>
      <c r="CE189" s="13">
        <f t="shared" si="43"/>
        <v>0</v>
      </c>
      <c r="CG189" s="9"/>
      <c r="CH189" s="13">
        <f t="shared" si="44"/>
        <v>0</v>
      </c>
      <c r="CI189" s="16">
        <f t="shared" si="45"/>
        <v>0</v>
      </c>
      <c r="CK189" s="8">
        <f t="shared" si="54"/>
        <v>0</v>
      </c>
      <c r="CL189" s="13">
        <f t="shared" si="55"/>
        <v>0</v>
      </c>
      <c r="CM189" s="13">
        <f t="shared" si="56"/>
        <v>0</v>
      </c>
      <c r="CO189" s="14">
        <f t="shared" si="48"/>
        <v>0</v>
      </c>
      <c r="CP189" s="8">
        <f t="shared" si="46"/>
        <v>0</v>
      </c>
      <c r="CQ189" s="13">
        <f t="shared" si="57"/>
        <v>0</v>
      </c>
      <c r="CR189" s="17" t="str">
        <f t="shared" si="47"/>
        <v>nenhuma</v>
      </c>
      <c r="CS189" s="13">
        <f t="shared" si="58"/>
        <v>0</v>
      </c>
    </row>
    <row r="190" spans="1:97" x14ac:dyDescent="0.25">
      <c r="A190" s="7">
        <v>186</v>
      </c>
      <c r="B190" s="41"/>
      <c r="C190" s="41"/>
      <c r="D190" s="41"/>
      <c r="E190" s="41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P190" s="10">
        <f t="shared" si="40"/>
        <v>0</v>
      </c>
      <c r="BR190" s="11">
        <v>0</v>
      </c>
      <c r="BT190" s="15"/>
      <c r="BV190" s="13">
        <f t="shared" si="41"/>
        <v>0</v>
      </c>
      <c r="BX190" s="14"/>
      <c r="BY190" s="8"/>
      <c r="BZ190" s="13">
        <f t="shared" si="42"/>
        <v>0</v>
      </c>
      <c r="CB190" s="15"/>
      <c r="CD190" s="8"/>
      <c r="CE190" s="13">
        <f t="shared" si="43"/>
        <v>0</v>
      </c>
      <c r="CG190" s="9"/>
      <c r="CH190" s="13">
        <f t="shared" si="44"/>
        <v>0</v>
      </c>
      <c r="CI190" s="16">
        <f t="shared" si="45"/>
        <v>0</v>
      </c>
      <c r="CK190" s="8">
        <f t="shared" si="54"/>
        <v>0</v>
      </c>
      <c r="CL190" s="13">
        <f t="shared" si="55"/>
        <v>0</v>
      </c>
      <c r="CM190" s="13">
        <f t="shared" si="56"/>
        <v>0</v>
      </c>
      <c r="CO190" s="14">
        <f t="shared" si="48"/>
        <v>0</v>
      </c>
      <c r="CP190" s="8">
        <f t="shared" si="46"/>
        <v>0</v>
      </c>
      <c r="CQ190" s="13">
        <f t="shared" si="57"/>
        <v>0</v>
      </c>
      <c r="CR190" s="17" t="str">
        <f t="shared" si="47"/>
        <v>nenhuma</v>
      </c>
      <c r="CS190" s="13">
        <f t="shared" si="58"/>
        <v>0</v>
      </c>
    </row>
    <row r="191" spans="1:97" x14ac:dyDescent="0.25">
      <c r="A191" s="7">
        <v>187</v>
      </c>
      <c r="B191" s="41"/>
      <c r="C191" s="41"/>
      <c r="D191" s="41"/>
      <c r="E191" s="41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P191" s="10">
        <f t="shared" si="40"/>
        <v>0</v>
      </c>
      <c r="BR191" s="11">
        <v>0</v>
      </c>
      <c r="BT191" s="15"/>
      <c r="BV191" s="13">
        <f t="shared" si="41"/>
        <v>0</v>
      </c>
      <c r="BX191" s="14"/>
      <c r="BY191" s="8"/>
      <c r="BZ191" s="13">
        <f t="shared" si="42"/>
        <v>0</v>
      </c>
      <c r="CB191" s="15"/>
      <c r="CD191" s="8"/>
      <c r="CE191" s="13">
        <f t="shared" si="43"/>
        <v>0</v>
      </c>
      <c r="CG191" s="9"/>
      <c r="CH191" s="13">
        <f t="shared" si="44"/>
        <v>0</v>
      </c>
      <c r="CI191" s="16">
        <f t="shared" si="45"/>
        <v>0</v>
      </c>
      <c r="CK191" s="8">
        <f t="shared" si="54"/>
        <v>0</v>
      </c>
      <c r="CL191" s="13">
        <f t="shared" si="55"/>
        <v>0</v>
      </c>
      <c r="CM191" s="13">
        <f t="shared" si="56"/>
        <v>0</v>
      </c>
      <c r="CO191" s="14">
        <f t="shared" si="48"/>
        <v>0</v>
      </c>
      <c r="CP191" s="8">
        <f t="shared" si="46"/>
        <v>0</v>
      </c>
      <c r="CQ191" s="13">
        <f t="shared" si="57"/>
        <v>0</v>
      </c>
      <c r="CR191" s="17" t="str">
        <f t="shared" si="47"/>
        <v>nenhuma</v>
      </c>
      <c r="CS191" s="13">
        <f t="shared" si="58"/>
        <v>0</v>
      </c>
    </row>
    <row r="192" spans="1:97" x14ac:dyDescent="0.25">
      <c r="A192" s="7">
        <v>188</v>
      </c>
      <c r="B192" s="41"/>
      <c r="C192" s="41"/>
      <c r="D192" s="41"/>
      <c r="E192" s="41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P192" s="10">
        <f t="shared" si="40"/>
        <v>0</v>
      </c>
      <c r="BR192" s="11">
        <v>0</v>
      </c>
      <c r="BT192" s="15"/>
      <c r="BV192" s="13">
        <f t="shared" si="41"/>
        <v>0</v>
      </c>
      <c r="BX192" s="14"/>
      <c r="BY192" s="8"/>
      <c r="BZ192" s="13">
        <f t="shared" si="42"/>
        <v>0</v>
      </c>
      <c r="CB192" s="15"/>
      <c r="CD192" s="8"/>
      <c r="CE192" s="13">
        <f t="shared" si="43"/>
        <v>0</v>
      </c>
      <c r="CG192" s="9"/>
      <c r="CH192" s="13">
        <f t="shared" si="44"/>
        <v>0</v>
      </c>
      <c r="CI192" s="16">
        <f t="shared" si="45"/>
        <v>0</v>
      </c>
      <c r="CK192" s="8">
        <f t="shared" si="54"/>
        <v>0</v>
      </c>
      <c r="CL192" s="13">
        <f t="shared" si="55"/>
        <v>0</v>
      </c>
      <c r="CM192" s="13">
        <f t="shared" si="56"/>
        <v>0</v>
      </c>
      <c r="CO192" s="14">
        <f t="shared" si="48"/>
        <v>0</v>
      </c>
      <c r="CP192" s="8">
        <f t="shared" si="46"/>
        <v>0</v>
      </c>
      <c r="CQ192" s="13">
        <f t="shared" si="57"/>
        <v>0</v>
      </c>
      <c r="CR192" s="17" t="str">
        <f t="shared" si="47"/>
        <v>nenhuma</v>
      </c>
      <c r="CS192" s="13">
        <f t="shared" si="58"/>
        <v>0</v>
      </c>
    </row>
    <row r="193" spans="1:97" x14ac:dyDescent="0.25">
      <c r="A193" s="7">
        <v>189</v>
      </c>
      <c r="B193" s="41"/>
      <c r="C193" s="41"/>
      <c r="D193" s="41"/>
      <c r="E193" s="41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P193" s="10">
        <f t="shared" si="40"/>
        <v>0</v>
      </c>
      <c r="BR193" s="11">
        <v>0</v>
      </c>
      <c r="BT193" s="15"/>
      <c r="BV193" s="13">
        <f t="shared" si="41"/>
        <v>0</v>
      </c>
      <c r="BX193" s="14"/>
      <c r="BY193" s="8"/>
      <c r="BZ193" s="13">
        <f t="shared" si="42"/>
        <v>0</v>
      </c>
      <c r="CB193" s="15"/>
      <c r="CD193" s="8"/>
      <c r="CE193" s="13">
        <f t="shared" si="43"/>
        <v>0</v>
      </c>
      <c r="CG193" s="9"/>
      <c r="CH193" s="13">
        <f t="shared" si="44"/>
        <v>0</v>
      </c>
      <c r="CI193" s="16">
        <f t="shared" si="45"/>
        <v>0</v>
      </c>
      <c r="CK193" s="8">
        <f t="shared" si="54"/>
        <v>0</v>
      </c>
      <c r="CL193" s="13">
        <f t="shared" si="55"/>
        <v>0</v>
      </c>
      <c r="CM193" s="13">
        <f t="shared" si="56"/>
        <v>0</v>
      </c>
      <c r="CO193" s="14">
        <f t="shared" si="48"/>
        <v>0</v>
      </c>
      <c r="CP193" s="8">
        <f t="shared" si="46"/>
        <v>0</v>
      </c>
      <c r="CQ193" s="13">
        <f t="shared" si="57"/>
        <v>0</v>
      </c>
      <c r="CR193" s="17" t="str">
        <f t="shared" si="47"/>
        <v>nenhuma</v>
      </c>
      <c r="CS193" s="13">
        <f t="shared" si="58"/>
        <v>0</v>
      </c>
    </row>
    <row r="194" spans="1:97" x14ac:dyDescent="0.25">
      <c r="A194" s="7">
        <v>190</v>
      </c>
      <c r="B194" s="41"/>
      <c r="C194" s="41"/>
      <c r="D194" s="41"/>
      <c r="E194" s="41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P194" s="10">
        <f t="shared" si="40"/>
        <v>0</v>
      </c>
      <c r="BR194" s="11">
        <v>0</v>
      </c>
      <c r="BT194" s="15"/>
      <c r="BV194" s="13">
        <f t="shared" si="41"/>
        <v>0</v>
      </c>
      <c r="BX194" s="14"/>
      <c r="BY194" s="8"/>
      <c r="BZ194" s="13">
        <f t="shared" si="42"/>
        <v>0</v>
      </c>
      <c r="CB194" s="15"/>
      <c r="CD194" s="8"/>
      <c r="CE194" s="13">
        <f t="shared" si="43"/>
        <v>0</v>
      </c>
      <c r="CG194" s="9"/>
      <c r="CH194" s="13">
        <f t="shared" si="44"/>
        <v>0</v>
      </c>
      <c r="CI194" s="16">
        <f t="shared" si="45"/>
        <v>0</v>
      </c>
      <c r="CK194" s="8">
        <f t="shared" si="54"/>
        <v>0</v>
      </c>
      <c r="CL194" s="13">
        <f t="shared" si="55"/>
        <v>0</v>
      </c>
      <c r="CM194" s="13">
        <f t="shared" si="56"/>
        <v>0</v>
      </c>
      <c r="CO194" s="14">
        <f t="shared" si="48"/>
        <v>0</v>
      </c>
      <c r="CP194" s="8">
        <f t="shared" si="46"/>
        <v>0</v>
      </c>
      <c r="CQ194" s="13">
        <f t="shared" si="57"/>
        <v>0</v>
      </c>
      <c r="CR194" s="17" t="str">
        <f t="shared" si="47"/>
        <v>nenhuma</v>
      </c>
      <c r="CS194" s="13">
        <f t="shared" si="58"/>
        <v>0</v>
      </c>
    </row>
    <row r="195" spans="1:97" x14ac:dyDescent="0.25">
      <c r="A195" s="7">
        <v>191</v>
      </c>
      <c r="B195" s="41"/>
      <c r="C195" s="41"/>
      <c r="D195" s="41"/>
      <c r="E195" s="41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P195" s="10">
        <f t="shared" si="40"/>
        <v>0</v>
      </c>
      <c r="BR195" s="11">
        <v>0</v>
      </c>
      <c r="BT195" s="15"/>
      <c r="BV195" s="13">
        <f t="shared" si="41"/>
        <v>0</v>
      </c>
      <c r="BX195" s="14"/>
      <c r="BY195" s="8"/>
      <c r="BZ195" s="13">
        <f t="shared" si="42"/>
        <v>0</v>
      </c>
      <c r="CB195" s="15"/>
      <c r="CD195" s="8"/>
      <c r="CE195" s="13">
        <f t="shared" si="43"/>
        <v>0</v>
      </c>
      <c r="CG195" s="9"/>
      <c r="CH195" s="13">
        <f t="shared" si="44"/>
        <v>0</v>
      </c>
      <c r="CI195" s="16">
        <f t="shared" si="45"/>
        <v>0</v>
      </c>
      <c r="CK195" s="8">
        <f t="shared" si="54"/>
        <v>0</v>
      </c>
      <c r="CL195" s="13">
        <f t="shared" si="55"/>
        <v>0</v>
      </c>
      <c r="CM195" s="13">
        <f t="shared" si="56"/>
        <v>0</v>
      </c>
      <c r="CO195" s="14">
        <f t="shared" si="48"/>
        <v>0</v>
      </c>
      <c r="CP195" s="8">
        <f t="shared" si="46"/>
        <v>0</v>
      </c>
      <c r="CQ195" s="13">
        <f t="shared" si="57"/>
        <v>0</v>
      </c>
      <c r="CR195" s="17" t="str">
        <f t="shared" si="47"/>
        <v>nenhuma</v>
      </c>
      <c r="CS195" s="13">
        <f t="shared" si="58"/>
        <v>0</v>
      </c>
    </row>
    <row r="196" spans="1:97" x14ac:dyDescent="0.25">
      <c r="A196" s="7">
        <v>192</v>
      </c>
      <c r="B196" s="41"/>
      <c r="C196" s="41"/>
      <c r="D196" s="41"/>
      <c r="E196" s="41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P196" s="10">
        <f t="shared" si="40"/>
        <v>0</v>
      </c>
      <c r="BR196" s="11">
        <v>0</v>
      </c>
      <c r="BT196" s="15"/>
      <c r="BV196" s="13">
        <f t="shared" si="41"/>
        <v>0</v>
      </c>
      <c r="BX196" s="14"/>
      <c r="BY196" s="8"/>
      <c r="BZ196" s="13">
        <f t="shared" si="42"/>
        <v>0</v>
      </c>
      <c r="CB196" s="15"/>
      <c r="CD196" s="8"/>
      <c r="CE196" s="13">
        <f t="shared" si="43"/>
        <v>0</v>
      </c>
      <c r="CG196" s="9"/>
      <c r="CH196" s="13">
        <f t="shared" si="44"/>
        <v>0</v>
      </c>
      <c r="CI196" s="16">
        <f t="shared" si="45"/>
        <v>0</v>
      </c>
      <c r="CK196" s="8">
        <f t="shared" si="54"/>
        <v>0</v>
      </c>
      <c r="CL196" s="13">
        <f t="shared" si="55"/>
        <v>0</v>
      </c>
      <c r="CM196" s="13">
        <f t="shared" si="56"/>
        <v>0</v>
      </c>
      <c r="CO196" s="14">
        <f t="shared" si="48"/>
        <v>0</v>
      </c>
      <c r="CP196" s="8">
        <f t="shared" si="46"/>
        <v>0</v>
      </c>
      <c r="CQ196" s="13">
        <f t="shared" si="57"/>
        <v>0</v>
      </c>
      <c r="CR196" s="17" t="str">
        <f t="shared" si="47"/>
        <v>nenhuma</v>
      </c>
      <c r="CS196" s="13">
        <f t="shared" si="58"/>
        <v>0</v>
      </c>
    </row>
    <row r="197" spans="1:97" x14ac:dyDescent="0.25">
      <c r="A197" s="7">
        <v>193</v>
      </c>
      <c r="B197" s="41"/>
      <c r="C197" s="41"/>
      <c r="D197" s="41"/>
      <c r="E197" s="41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P197" s="10">
        <f t="shared" ref="BP197:BP220" si="59">IF(SUM(F197:BN197)&gt;0,ROUND(AVERAGE(F197:BN197),4),0)</f>
        <v>0</v>
      </c>
      <c r="BR197" s="11">
        <v>0</v>
      </c>
      <c r="BT197" s="15"/>
      <c r="BV197" s="13">
        <f t="shared" ref="BV197:BV220" si="60">IF(BR197&gt;0,BR197,BP197)*BT197</f>
        <v>0</v>
      </c>
      <c r="BX197" s="14"/>
      <c r="BY197" s="8"/>
      <c r="BZ197" s="13">
        <f t="shared" ref="BZ197:BZ220" si="61">IF(BX197="",0,IF(BY197="",SUMIF($B$5:$B$220,"="&amp;BX197,$BV$5:$BV$220),SUMIFS($BV$5:$BV$220, $B$5:$B$220, "="&amp;BX197, $C$5:$C$220,"="&amp;BY197)))</f>
        <v>0</v>
      </c>
      <c r="CB197" s="15"/>
      <c r="CD197" s="8"/>
      <c r="CE197" s="13">
        <f t="shared" ref="CE197:CE220" si="62">IF(CD197="",0,SUMIF($CB$5:$CB$220,"="&amp;CD197,$BV$5:$BV$220))</f>
        <v>0</v>
      </c>
      <c r="CG197" s="9"/>
      <c r="CH197" s="13">
        <f t="shared" ref="CH197:CH220" si="63">CG197*BT197</f>
        <v>0</v>
      </c>
      <c r="CI197" s="16">
        <f t="shared" ref="CI197:CI220" si="64">IF(BV197&gt;0,IF(CH197&gt;=0,CH197-BV197,0),0)</f>
        <v>0</v>
      </c>
      <c r="CK197" s="8">
        <f t="shared" si="54"/>
        <v>0</v>
      </c>
      <c r="CL197" s="13">
        <f t="shared" si="55"/>
        <v>0</v>
      </c>
      <c r="CM197" s="13">
        <f t="shared" si="56"/>
        <v>0</v>
      </c>
      <c r="CO197" s="14">
        <f t="shared" si="48"/>
        <v>0</v>
      </c>
      <c r="CP197" s="8">
        <f t="shared" ref="CP197:CP220" si="65">BY197</f>
        <v>0</v>
      </c>
      <c r="CQ197" s="13">
        <f t="shared" si="57"/>
        <v>0</v>
      </c>
      <c r="CR197" s="17" t="str">
        <f t="shared" ref="CR197:CR220" si="66">IF(CS197&gt;0,"anular",IF(CS197&lt;0,"reforçar","nenhuma"))</f>
        <v>nenhuma</v>
      </c>
      <c r="CS197" s="13">
        <f t="shared" si="58"/>
        <v>0</v>
      </c>
    </row>
    <row r="198" spans="1:97" x14ac:dyDescent="0.25">
      <c r="A198" s="7">
        <v>194</v>
      </c>
      <c r="B198" s="41"/>
      <c r="C198" s="41"/>
      <c r="D198" s="41"/>
      <c r="E198" s="41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P198" s="10">
        <f t="shared" si="59"/>
        <v>0</v>
      </c>
      <c r="BR198" s="11">
        <v>0</v>
      </c>
      <c r="BT198" s="15"/>
      <c r="BV198" s="13">
        <f t="shared" si="60"/>
        <v>0</v>
      </c>
      <c r="BX198" s="14"/>
      <c r="BY198" s="8"/>
      <c r="BZ198" s="13">
        <f t="shared" si="61"/>
        <v>0</v>
      </c>
      <c r="CB198" s="15"/>
      <c r="CD198" s="8"/>
      <c r="CE198" s="13">
        <f t="shared" si="62"/>
        <v>0</v>
      </c>
      <c r="CG198" s="9"/>
      <c r="CH198" s="13">
        <f t="shared" si="63"/>
        <v>0</v>
      </c>
      <c r="CI198" s="16">
        <f t="shared" si="64"/>
        <v>0</v>
      </c>
      <c r="CK198" s="8">
        <f t="shared" si="54"/>
        <v>0</v>
      </c>
      <c r="CL198" s="13">
        <f t="shared" si="55"/>
        <v>0</v>
      </c>
      <c r="CM198" s="13">
        <f t="shared" si="56"/>
        <v>0</v>
      </c>
      <c r="CO198" s="14">
        <f t="shared" si="48"/>
        <v>0</v>
      </c>
      <c r="CP198" s="8">
        <f t="shared" si="65"/>
        <v>0</v>
      </c>
      <c r="CQ198" s="13">
        <f t="shared" si="57"/>
        <v>0</v>
      </c>
      <c r="CR198" s="17" t="str">
        <f t="shared" si="66"/>
        <v>nenhuma</v>
      </c>
      <c r="CS198" s="13">
        <f t="shared" si="58"/>
        <v>0</v>
      </c>
    </row>
    <row r="199" spans="1:97" x14ac:dyDescent="0.25">
      <c r="A199" s="7">
        <v>195</v>
      </c>
      <c r="B199" s="41"/>
      <c r="C199" s="41"/>
      <c r="D199" s="41"/>
      <c r="E199" s="41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P199" s="10">
        <f t="shared" si="59"/>
        <v>0</v>
      </c>
      <c r="BR199" s="11">
        <v>0</v>
      </c>
      <c r="BT199" s="15"/>
      <c r="BV199" s="13">
        <f t="shared" si="60"/>
        <v>0</v>
      </c>
      <c r="BX199" s="14"/>
      <c r="BY199" s="8"/>
      <c r="BZ199" s="13">
        <f t="shared" si="61"/>
        <v>0</v>
      </c>
      <c r="CB199" s="15"/>
      <c r="CD199" s="8"/>
      <c r="CE199" s="13">
        <f t="shared" si="62"/>
        <v>0</v>
      </c>
      <c r="CG199" s="9"/>
      <c r="CH199" s="13">
        <f t="shared" si="63"/>
        <v>0</v>
      </c>
      <c r="CI199" s="16">
        <f t="shared" si="64"/>
        <v>0</v>
      </c>
      <c r="CK199" s="8">
        <f t="shared" si="54"/>
        <v>0</v>
      </c>
      <c r="CL199" s="13">
        <f t="shared" si="55"/>
        <v>0</v>
      </c>
      <c r="CM199" s="13">
        <f t="shared" si="56"/>
        <v>0</v>
      </c>
      <c r="CO199" s="14">
        <f t="shared" ref="CO199:CO220" si="67">BX199</f>
        <v>0</v>
      </c>
      <c r="CP199" s="8">
        <f t="shared" si="65"/>
        <v>0</v>
      </c>
      <c r="CQ199" s="13">
        <f t="shared" si="57"/>
        <v>0</v>
      </c>
      <c r="CR199" s="17" t="str">
        <f t="shared" si="66"/>
        <v>nenhuma</v>
      </c>
      <c r="CS199" s="13">
        <f t="shared" si="58"/>
        <v>0</v>
      </c>
    </row>
    <row r="200" spans="1:97" x14ac:dyDescent="0.25">
      <c r="A200" s="7">
        <v>196</v>
      </c>
      <c r="B200" s="41"/>
      <c r="C200" s="41"/>
      <c r="D200" s="41"/>
      <c r="E200" s="41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P200" s="10">
        <f t="shared" si="59"/>
        <v>0</v>
      </c>
      <c r="BR200" s="11">
        <v>0</v>
      </c>
      <c r="BT200" s="15"/>
      <c r="BV200" s="13">
        <f t="shared" si="60"/>
        <v>0</v>
      </c>
      <c r="BX200" s="14"/>
      <c r="BY200" s="8"/>
      <c r="BZ200" s="13">
        <f t="shared" si="61"/>
        <v>0</v>
      </c>
      <c r="CB200" s="15"/>
      <c r="CD200" s="8"/>
      <c r="CE200" s="13">
        <f t="shared" si="62"/>
        <v>0</v>
      </c>
      <c r="CG200" s="9"/>
      <c r="CH200" s="13">
        <f t="shared" si="63"/>
        <v>0</v>
      </c>
      <c r="CI200" s="16">
        <f t="shared" si="64"/>
        <v>0</v>
      </c>
      <c r="CK200" s="8">
        <f t="shared" si="54"/>
        <v>0</v>
      </c>
      <c r="CL200" s="13">
        <f t="shared" si="55"/>
        <v>0</v>
      </c>
      <c r="CM200" s="13">
        <f t="shared" si="56"/>
        <v>0</v>
      </c>
      <c r="CO200" s="14">
        <f t="shared" si="67"/>
        <v>0</v>
      </c>
      <c r="CP200" s="8">
        <f t="shared" si="65"/>
        <v>0</v>
      </c>
      <c r="CQ200" s="13">
        <f t="shared" si="57"/>
        <v>0</v>
      </c>
      <c r="CR200" s="17" t="str">
        <f t="shared" si="66"/>
        <v>nenhuma</v>
      </c>
      <c r="CS200" s="13">
        <f t="shared" si="58"/>
        <v>0</v>
      </c>
    </row>
    <row r="201" spans="1:97" x14ac:dyDescent="0.25">
      <c r="A201" s="7">
        <v>197</v>
      </c>
      <c r="B201" s="41"/>
      <c r="C201" s="41"/>
      <c r="D201" s="41"/>
      <c r="E201" s="41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P201" s="10">
        <f t="shared" si="59"/>
        <v>0</v>
      </c>
      <c r="BR201" s="11">
        <v>0</v>
      </c>
      <c r="BT201" s="15"/>
      <c r="BV201" s="13">
        <f t="shared" si="60"/>
        <v>0</v>
      </c>
      <c r="BX201" s="14"/>
      <c r="BY201" s="8"/>
      <c r="BZ201" s="13">
        <f t="shared" si="61"/>
        <v>0</v>
      </c>
      <c r="CB201" s="15"/>
      <c r="CD201" s="8"/>
      <c r="CE201" s="13">
        <f t="shared" si="62"/>
        <v>0</v>
      </c>
      <c r="CG201" s="9"/>
      <c r="CH201" s="13">
        <f t="shared" si="63"/>
        <v>0</v>
      </c>
      <c r="CI201" s="16">
        <f t="shared" si="64"/>
        <v>0</v>
      </c>
      <c r="CK201" s="8">
        <f t="shared" si="54"/>
        <v>0</v>
      </c>
      <c r="CL201" s="13">
        <f t="shared" si="55"/>
        <v>0</v>
      </c>
      <c r="CM201" s="13">
        <f t="shared" si="56"/>
        <v>0</v>
      </c>
      <c r="CO201" s="14">
        <f t="shared" si="67"/>
        <v>0</v>
      </c>
      <c r="CP201" s="8">
        <f t="shared" si="65"/>
        <v>0</v>
      </c>
      <c r="CQ201" s="13">
        <f t="shared" si="57"/>
        <v>0</v>
      </c>
      <c r="CR201" s="17" t="str">
        <f t="shared" si="66"/>
        <v>nenhuma</v>
      </c>
      <c r="CS201" s="13">
        <f t="shared" si="58"/>
        <v>0</v>
      </c>
    </row>
    <row r="202" spans="1:97" x14ac:dyDescent="0.25">
      <c r="A202" s="7">
        <v>198</v>
      </c>
      <c r="B202" s="41"/>
      <c r="C202" s="41"/>
      <c r="D202" s="41"/>
      <c r="E202" s="41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P202" s="10">
        <f t="shared" si="59"/>
        <v>0</v>
      </c>
      <c r="BR202" s="11">
        <v>0</v>
      </c>
      <c r="BT202" s="15"/>
      <c r="BV202" s="13">
        <f t="shared" si="60"/>
        <v>0</v>
      </c>
      <c r="BX202" s="14"/>
      <c r="BY202" s="8"/>
      <c r="BZ202" s="13">
        <f t="shared" si="61"/>
        <v>0</v>
      </c>
      <c r="CB202" s="15"/>
      <c r="CD202" s="8"/>
      <c r="CE202" s="13">
        <f t="shared" si="62"/>
        <v>0</v>
      </c>
      <c r="CG202" s="9"/>
      <c r="CH202" s="13">
        <f t="shared" si="63"/>
        <v>0</v>
      </c>
      <c r="CI202" s="16">
        <f t="shared" si="64"/>
        <v>0</v>
      </c>
      <c r="CK202" s="8">
        <f t="shared" si="54"/>
        <v>0</v>
      </c>
      <c r="CL202" s="13">
        <f t="shared" si="55"/>
        <v>0</v>
      </c>
      <c r="CM202" s="13">
        <f t="shared" si="56"/>
        <v>0</v>
      </c>
      <c r="CO202" s="14">
        <f t="shared" si="67"/>
        <v>0</v>
      </c>
      <c r="CP202" s="8">
        <f t="shared" si="65"/>
        <v>0</v>
      </c>
      <c r="CQ202" s="13">
        <f t="shared" si="57"/>
        <v>0</v>
      </c>
      <c r="CR202" s="17" t="str">
        <f t="shared" si="66"/>
        <v>nenhuma</v>
      </c>
      <c r="CS202" s="13">
        <f t="shared" si="58"/>
        <v>0</v>
      </c>
    </row>
    <row r="203" spans="1:97" x14ac:dyDescent="0.25">
      <c r="A203" s="7">
        <v>199</v>
      </c>
      <c r="B203" s="41"/>
      <c r="C203" s="41"/>
      <c r="D203" s="41"/>
      <c r="E203" s="41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P203" s="10">
        <f t="shared" si="59"/>
        <v>0</v>
      </c>
      <c r="BR203" s="11">
        <v>0</v>
      </c>
      <c r="BT203" s="15"/>
      <c r="BV203" s="13">
        <f t="shared" si="60"/>
        <v>0</v>
      </c>
      <c r="BX203" s="14"/>
      <c r="BY203" s="8"/>
      <c r="BZ203" s="13">
        <f t="shared" si="61"/>
        <v>0</v>
      </c>
      <c r="CB203" s="15"/>
      <c r="CD203" s="8"/>
      <c r="CE203" s="13">
        <f t="shared" si="62"/>
        <v>0</v>
      </c>
      <c r="CG203" s="9"/>
      <c r="CH203" s="13">
        <f t="shared" si="63"/>
        <v>0</v>
      </c>
      <c r="CI203" s="16">
        <f t="shared" si="64"/>
        <v>0</v>
      </c>
      <c r="CK203" s="8">
        <f t="shared" si="54"/>
        <v>0</v>
      </c>
      <c r="CL203" s="13">
        <f t="shared" si="55"/>
        <v>0</v>
      </c>
      <c r="CM203" s="13">
        <f t="shared" si="56"/>
        <v>0</v>
      </c>
      <c r="CO203" s="14">
        <f t="shared" si="67"/>
        <v>0</v>
      </c>
      <c r="CP203" s="8">
        <f t="shared" si="65"/>
        <v>0</v>
      </c>
      <c r="CQ203" s="13">
        <f t="shared" si="57"/>
        <v>0</v>
      </c>
      <c r="CR203" s="17" t="str">
        <f t="shared" si="66"/>
        <v>nenhuma</v>
      </c>
      <c r="CS203" s="13">
        <f t="shared" si="58"/>
        <v>0</v>
      </c>
    </row>
    <row r="204" spans="1:97" x14ac:dyDescent="0.25">
      <c r="A204" s="7">
        <v>200</v>
      </c>
      <c r="B204" s="41"/>
      <c r="C204" s="41"/>
      <c r="D204" s="41"/>
      <c r="E204" s="41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P204" s="10">
        <f t="shared" si="59"/>
        <v>0</v>
      </c>
      <c r="BR204" s="11">
        <v>0</v>
      </c>
      <c r="BT204" s="15"/>
      <c r="BV204" s="13">
        <f t="shared" si="60"/>
        <v>0</v>
      </c>
      <c r="BX204" s="14"/>
      <c r="BY204" s="8"/>
      <c r="BZ204" s="13">
        <f t="shared" si="61"/>
        <v>0</v>
      </c>
      <c r="CB204" s="15"/>
      <c r="CD204" s="8"/>
      <c r="CE204" s="13">
        <f t="shared" si="62"/>
        <v>0</v>
      </c>
      <c r="CG204" s="9"/>
      <c r="CH204" s="13">
        <f t="shared" si="63"/>
        <v>0</v>
      </c>
      <c r="CI204" s="16">
        <f t="shared" si="64"/>
        <v>0</v>
      </c>
      <c r="CK204" s="8">
        <f t="shared" si="54"/>
        <v>0</v>
      </c>
      <c r="CL204" s="13">
        <f t="shared" si="55"/>
        <v>0</v>
      </c>
      <c r="CM204" s="13">
        <f t="shared" si="56"/>
        <v>0</v>
      </c>
      <c r="CO204" s="14">
        <f t="shared" si="67"/>
        <v>0</v>
      </c>
      <c r="CP204" s="8">
        <f t="shared" si="65"/>
        <v>0</v>
      </c>
      <c r="CQ204" s="13">
        <f t="shared" si="57"/>
        <v>0</v>
      </c>
      <c r="CR204" s="17" t="str">
        <f t="shared" si="66"/>
        <v>nenhuma</v>
      </c>
      <c r="CS204" s="13">
        <f t="shared" si="58"/>
        <v>0</v>
      </c>
    </row>
    <row r="205" spans="1:97" x14ac:dyDescent="0.25">
      <c r="A205" s="7">
        <v>201</v>
      </c>
      <c r="B205" s="41"/>
      <c r="C205" s="41"/>
      <c r="D205" s="41"/>
      <c r="E205" s="41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P205" s="10">
        <f t="shared" si="59"/>
        <v>0</v>
      </c>
      <c r="BR205" s="11">
        <v>0</v>
      </c>
      <c r="BT205" s="15"/>
      <c r="BV205" s="13">
        <f t="shared" si="60"/>
        <v>0</v>
      </c>
      <c r="BX205" s="14"/>
      <c r="BY205" s="8"/>
      <c r="BZ205" s="13">
        <f t="shared" si="61"/>
        <v>0</v>
      </c>
      <c r="CB205" s="15"/>
      <c r="CD205" s="8"/>
      <c r="CE205" s="13">
        <f t="shared" si="62"/>
        <v>0</v>
      </c>
      <c r="CG205" s="9"/>
      <c r="CH205" s="13">
        <f t="shared" si="63"/>
        <v>0</v>
      </c>
      <c r="CI205" s="16">
        <f t="shared" si="64"/>
        <v>0</v>
      </c>
      <c r="CK205" s="8">
        <f t="shared" si="54"/>
        <v>0</v>
      </c>
      <c r="CL205" s="13">
        <f t="shared" si="55"/>
        <v>0</v>
      </c>
      <c r="CM205" s="13">
        <f t="shared" si="56"/>
        <v>0</v>
      </c>
      <c r="CO205" s="14">
        <f t="shared" si="67"/>
        <v>0</v>
      </c>
      <c r="CP205" s="8">
        <f t="shared" si="65"/>
        <v>0</v>
      </c>
      <c r="CQ205" s="13">
        <f t="shared" si="57"/>
        <v>0</v>
      </c>
      <c r="CR205" s="17" t="str">
        <f t="shared" si="66"/>
        <v>nenhuma</v>
      </c>
      <c r="CS205" s="13">
        <f t="shared" si="58"/>
        <v>0</v>
      </c>
    </row>
    <row r="206" spans="1:97" x14ac:dyDescent="0.25">
      <c r="A206" s="7">
        <v>202</v>
      </c>
      <c r="B206" s="41"/>
      <c r="C206" s="41"/>
      <c r="D206" s="41"/>
      <c r="E206" s="41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P206" s="10">
        <f t="shared" si="59"/>
        <v>0</v>
      </c>
      <c r="BR206" s="11">
        <v>0</v>
      </c>
      <c r="BT206" s="15"/>
      <c r="BV206" s="13">
        <f t="shared" si="60"/>
        <v>0</v>
      </c>
      <c r="BX206" s="14"/>
      <c r="BY206" s="8"/>
      <c r="BZ206" s="13">
        <f t="shared" si="61"/>
        <v>0</v>
      </c>
      <c r="CB206" s="15"/>
      <c r="CD206" s="8"/>
      <c r="CE206" s="13">
        <f t="shared" si="62"/>
        <v>0</v>
      </c>
      <c r="CG206" s="9"/>
      <c r="CH206" s="13">
        <f t="shared" si="63"/>
        <v>0</v>
      </c>
      <c r="CI206" s="16">
        <f t="shared" si="64"/>
        <v>0</v>
      </c>
      <c r="CK206" s="8">
        <f t="shared" si="54"/>
        <v>0</v>
      </c>
      <c r="CL206" s="13">
        <f t="shared" si="55"/>
        <v>0</v>
      </c>
      <c r="CM206" s="13">
        <f t="shared" si="56"/>
        <v>0</v>
      </c>
      <c r="CO206" s="14">
        <f t="shared" si="67"/>
        <v>0</v>
      </c>
      <c r="CP206" s="8">
        <f t="shared" si="65"/>
        <v>0</v>
      </c>
      <c r="CQ206" s="13">
        <f t="shared" si="57"/>
        <v>0</v>
      </c>
      <c r="CR206" s="17" t="str">
        <f t="shared" si="66"/>
        <v>nenhuma</v>
      </c>
      <c r="CS206" s="13">
        <f t="shared" si="58"/>
        <v>0</v>
      </c>
    </row>
    <row r="207" spans="1:97" x14ac:dyDescent="0.25">
      <c r="A207" s="7">
        <v>203</v>
      </c>
      <c r="B207" s="41"/>
      <c r="C207" s="41"/>
      <c r="D207" s="41"/>
      <c r="E207" s="41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P207" s="10">
        <f t="shared" si="59"/>
        <v>0</v>
      </c>
      <c r="BR207" s="11">
        <v>0</v>
      </c>
      <c r="BT207" s="15"/>
      <c r="BV207" s="13">
        <f t="shared" si="60"/>
        <v>0</v>
      </c>
      <c r="BX207" s="14"/>
      <c r="BY207" s="8"/>
      <c r="BZ207" s="13">
        <f t="shared" si="61"/>
        <v>0</v>
      </c>
      <c r="CB207" s="15"/>
      <c r="CD207" s="8"/>
      <c r="CE207" s="13">
        <f t="shared" si="62"/>
        <v>0</v>
      </c>
      <c r="CG207" s="9"/>
      <c r="CH207" s="13">
        <f t="shared" si="63"/>
        <v>0</v>
      </c>
      <c r="CI207" s="16">
        <f t="shared" si="64"/>
        <v>0</v>
      </c>
      <c r="CK207" s="8">
        <f t="shared" si="54"/>
        <v>0</v>
      </c>
      <c r="CL207" s="13">
        <f t="shared" si="55"/>
        <v>0</v>
      </c>
      <c r="CM207" s="13">
        <f t="shared" si="56"/>
        <v>0</v>
      </c>
      <c r="CO207" s="14">
        <f t="shared" si="67"/>
        <v>0</v>
      </c>
      <c r="CP207" s="8">
        <f t="shared" si="65"/>
        <v>0</v>
      </c>
      <c r="CQ207" s="13">
        <f t="shared" si="57"/>
        <v>0</v>
      </c>
      <c r="CR207" s="17" t="str">
        <f t="shared" si="66"/>
        <v>nenhuma</v>
      </c>
      <c r="CS207" s="13">
        <f t="shared" si="58"/>
        <v>0</v>
      </c>
    </row>
    <row r="208" spans="1:97" x14ac:dyDescent="0.25">
      <c r="A208" s="7">
        <v>204</v>
      </c>
      <c r="B208" s="41"/>
      <c r="C208" s="41"/>
      <c r="D208" s="41"/>
      <c r="E208" s="41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P208" s="10">
        <f t="shared" si="59"/>
        <v>0</v>
      </c>
      <c r="BR208" s="11">
        <v>0</v>
      </c>
      <c r="BT208" s="15"/>
      <c r="BV208" s="13">
        <f t="shared" si="60"/>
        <v>0</v>
      </c>
      <c r="BX208" s="14"/>
      <c r="BY208" s="8"/>
      <c r="BZ208" s="13">
        <f t="shared" si="61"/>
        <v>0</v>
      </c>
      <c r="CB208" s="15"/>
      <c r="CD208" s="8"/>
      <c r="CE208" s="13">
        <f t="shared" si="62"/>
        <v>0</v>
      </c>
      <c r="CG208" s="9"/>
      <c r="CH208" s="13">
        <f t="shared" si="63"/>
        <v>0</v>
      </c>
      <c r="CI208" s="16">
        <f t="shared" si="64"/>
        <v>0</v>
      </c>
      <c r="CK208" s="8">
        <f t="shared" si="54"/>
        <v>0</v>
      </c>
      <c r="CL208" s="13">
        <f t="shared" si="55"/>
        <v>0</v>
      </c>
      <c r="CM208" s="13">
        <f t="shared" si="56"/>
        <v>0</v>
      </c>
      <c r="CO208" s="14">
        <f t="shared" si="67"/>
        <v>0</v>
      </c>
      <c r="CP208" s="8">
        <f t="shared" si="65"/>
        <v>0</v>
      </c>
      <c r="CQ208" s="13">
        <f t="shared" si="57"/>
        <v>0</v>
      </c>
      <c r="CR208" s="17" t="str">
        <f t="shared" si="66"/>
        <v>nenhuma</v>
      </c>
      <c r="CS208" s="13">
        <f t="shared" si="58"/>
        <v>0</v>
      </c>
    </row>
    <row r="209" spans="1:97" x14ac:dyDescent="0.25">
      <c r="A209" s="7">
        <v>205</v>
      </c>
      <c r="B209" s="41"/>
      <c r="C209" s="41"/>
      <c r="D209" s="41"/>
      <c r="E209" s="41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P209" s="10">
        <f t="shared" si="59"/>
        <v>0</v>
      </c>
      <c r="BR209" s="11">
        <v>0</v>
      </c>
      <c r="BT209" s="15"/>
      <c r="BV209" s="13">
        <f t="shared" si="60"/>
        <v>0</v>
      </c>
      <c r="BX209" s="14"/>
      <c r="BY209" s="8"/>
      <c r="BZ209" s="13">
        <f t="shared" si="61"/>
        <v>0</v>
      </c>
      <c r="CB209" s="15"/>
      <c r="CD209" s="8"/>
      <c r="CE209" s="13">
        <f t="shared" si="62"/>
        <v>0</v>
      </c>
      <c r="CG209" s="9"/>
      <c r="CH209" s="13">
        <f t="shared" si="63"/>
        <v>0</v>
      </c>
      <c r="CI209" s="16">
        <f t="shared" si="64"/>
        <v>0</v>
      </c>
      <c r="CK209" s="8">
        <f t="shared" si="54"/>
        <v>0</v>
      </c>
      <c r="CL209" s="13">
        <f t="shared" si="55"/>
        <v>0</v>
      </c>
      <c r="CM209" s="13">
        <f t="shared" si="56"/>
        <v>0</v>
      </c>
      <c r="CO209" s="14">
        <f t="shared" si="67"/>
        <v>0</v>
      </c>
      <c r="CP209" s="8">
        <f t="shared" si="65"/>
        <v>0</v>
      </c>
      <c r="CQ209" s="13">
        <f t="shared" si="57"/>
        <v>0</v>
      </c>
      <c r="CR209" s="17" t="str">
        <f t="shared" si="66"/>
        <v>nenhuma</v>
      </c>
      <c r="CS209" s="13">
        <f t="shared" si="58"/>
        <v>0</v>
      </c>
    </row>
    <row r="210" spans="1:97" x14ac:dyDescent="0.25">
      <c r="A210" s="7">
        <v>206</v>
      </c>
      <c r="B210" s="41"/>
      <c r="C210" s="41"/>
      <c r="D210" s="41"/>
      <c r="E210" s="41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P210" s="10">
        <f t="shared" si="59"/>
        <v>0</v>
      </c>
      <c r="BR210" s="11">
        <v>0</v>
      </c>
      <c r="BT210" s="15"/>
      <c r="BV210" s="13">
        <f t="shared" si="60"/>
        <v>0</v>
      </c>
      <c r="BX210" s="14"/>
      <c r="BY210" s="8"/>
      <c r="BZ210" s="13">
        <f t="shared" si="61"/>
        <v>0</v>
      </c>
      <c r="CB210" s="15"/>
      <c r="CD210" s="8"/>
      <c r="CE210" s="13">
        <f t="shared" si="62"/>
        <v>0</v>
      </c>
      <c r="CG210" s="9"/>
      <c r="CH210" s="13">
        <f t="shared" si="63"/>
        <v>0</v>
      </c>
      <c r="CI210" s="16">
        <f t="shared" si="64"/>
        <v>0</v>
      </c>
      <c r="CK210" s="8">
        <f t="shared" si="54"/>
        <v>0</v>
      </c>
      <c r="CL210" s="13">
        <f t="shared" si="55"/>
        <v>0</v>
      </c>
      <c r="CM210" s="13">
        <f t="shared" si="56"/>
        <v>0</v>
      </c>
      <c r="CO210" s="14">
        <f t="shared" si="67"/>
        <v>0</v>
      </c>
      <c r="CP210" s="8">
        <f t="shared" si="65"/>
        <v>0</v>
      </c>
      <c r="CQ210" s="13">
        <f t="shared" si="57"/>
        <v>0</v>
      </c>
      <c r="CR210" s="17" t="str">
        <f t="shared" si="66"/>
        <v>nenhuma</v>
      </c>
      <c r="CS210" s="13">
        <f t="shared" si="58"/>
        <v>0</v>
      </c>
    </row>
    <row r="211" spans="1:97" x14ac:dyDescent="0.25">
      <c r="A211" s="7">
        <v>207</v>
      </c>
      <c r="B211" s="41"/>
      <c r="C211" s="41"/>
      <c r="D211" s="41"/>
      <c r="E211" s="41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P211" s="10">
        <f t="shared" si="59"/>
        <v>0</v>
      </c>
      <c r="BR211" s="11">
        <v>0</v>
      </c>
      <c r="BT211" s="15"/>
      <c r="BV211" s="13">
        <f t="shared" si="60"/>
        <v>0</v>
      </c>
      <c r="BX211" s="14"/>
      <c r="BY211" s="8"/>
      <c r="BZ211" s="13">
        <f t="shared" si="61"/>
        <v>0</v>
      </c>
      <c r="CB211" s="15"/>
      <c r="CD211" s="8"/>
      <c r="CE211" s="13">
        <f t="shared" si="62"/>
        <v>0</v>
      </c>
      <c r="CG211" s="9"/>
      <c r="CH211" s="13">
        <f t="shared" si="63"/>
        <v>0</v>
      </c>
      <c r="CI211" s="16">
        <f t="shared" si="64"/>
        <v>0</v>
      </c>
      <c r="CK211" s="8">
        <f t="shared" si="54"/>
        <v>0</v>
      </c>
      <c r="CL211" s="13">
        <f t="shared" si="55"/>
        <v>0</v>
      </c>
      <c r="CM211" s="13">
        <f t="shared" si="56"/>
        <v>0</v>
      </c>
      <c r="CO211" s="14">
        <f t="shared" si="67"/>
        <v>0</v>
      </c>
      <c r="CP211" s="8">
        <f t="shared" si="65"/>
        <v>0</v>
      </c>
      <c r="CQ211" s="13">
        <f t="shared" si="57"/>
        <v>0</v>
      </c>
      <c r="CR211" s="17" t="str">
        <f t="shared" si="66"/>
        <v>nenhuma</v>
      </c>
      <c r="CS211" s="13">
        <f t="shared" si="58"/>
        <v>0</v>
      </c>
    </row>
    <row r="212" spans="1:97" x14ac:dyDescent="0.25">
      <c r="A212" s="7">
        <v>208</v>
      </c>
      <c r="B212" s="41"/>
      <c r="C212" s="41"/>
      <c r="D212" s="41"/>
      <c r="E212" s="41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P212" s="10">
        <f t="shared" si="59"/>
        <v>0</v>
      </c>
      <c r="BR212" s="11">
        <v>0</v>
      </c>
      <c r="BT212" s="15"/>
      <c r="BV212" s="13">
        <f t="shared" si="60"/>
        <v>0</v>
      </c>
      <c r="BX212" s="14"/>
      <c r="BY212" s="8"/>
      <c r="BZ212" s="13">
        <f t="shared" si="61"/>
        <v>0</v>
      </c>
      <c r="CB212" s="15"/>
      <c r="CD212" s="8"/>
      <c r="CE212" s="13">
        <f t="shared" si="62"/>
        <v>0</v>
      </c>
      <c r="CG212" s="9"/>
      <c r="CH212" s="13">
        <f t="shared" si="63"/>
        <v>0</v>
      </c>
      <c r="CI212" s="16">
        <f t="shared" si="64"/>
        <v>0</v>
      </c>
      <c r="CK212" s="8">
        <f t="shared" si="54"/>
        <v>0</v>
      </c>
      <c r="CL212" s="13">
        <f t="shared" si="55"/>
        <v>0</v>
      </c>
      <c r="CM212" s="13">
        <f t="shared" si="56"/>
        <v>0</v>
      </c>
      <c r="CO212" s="14">
        <f t="shared" si="67"/>
        <v>0</v>
      </c>
      <c r="CP212" s="8">
        <f t="shared" si="65"/>
        <v>0</v>
      </c>
      <c r="CQ212" s="13">
        <f t="shared" si="57"/>
        <v>0</v>
      </c>
      <c r="CR212" s="17" t="str">
        <f t="shared" si="66"/>
        <v>nenhuma</v>
      </c>
      <c r="CS212" s="13">
        <f t="shared" si="58"/>
        <v>0</v>
      </c>
    </row>
    <row r="213" spans="1:97" x14ac:dyDescent="0.25">
      <c r="A213" s="7">
        <v>209</v>
      </c>
      <c r="B213" s="41"/>
      <c r="C213" s="41"/>
      <c r="D213" s="41"/>
      <c r="E213" s="41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P213" s="10">
        <f t="shared" si="59"/>
        <v>0</v>
      </c>
      <c r="BR213" s="11">
        <v>0</v>
      </c>
      <c r="BT213" s="15"/>
      <c r="BV213" s="13">
        <f t="shared" si="60"/>
        <v>0</v>
      </c>
      <c r="BX213" s="14"/>
      <c r="BY213" s="8"/>
      <c r="BZ213" s="13">
        <f t="shared" si="61"/>
        <v>0</v>
      </c>
      <c r="CB213" s="15"/>
      <c r="CD213" s="8"/>
      <c r="CE213" s="13">
        <f t="shared" si="62"/>
        <v>0</v>
      </c>
      <c r="CG213" s="9"/>
      <c r="CH213" s="13">
        <f t="shared" si="63"/>
        <v>0</v>
      </c>
      <c r="CI213" s="16">
        <f t="shared" si="64"/>
        <v>0</v>
      </c>
      <c r="CK213" s="8">
        <f t="shared" si="54"/>
        <v>0</v>
      </c>
      <c r="CL213" s="13">
        <f t="shared" si="55"/>
        <v>0</v>
      </c>
      <c r="CM213" s="13">
        <f t="shared" si="56"/>
        <v>0</v>
      </c>
      <c r="CO213" s="14">
        <f t="shared" si="67"/>
        <v>0</v>
      </c>
      <c r="CP213" s="8">
        <f t="shared" si="65"/>
        <v>0</v>
      </c>
      <c r="CQ213" s="13">
        <f t="shared" si="57"/>
        <v>0</v>
      </c>
      <c r="CR213" s="17" t="str">
        <f t="shared" si="66"/>
        <v>nenhuma</v>
      </c>
      <c r="CS213" s="13">
        <f t="shared" si="58"/>
        <v>0</v>
      </c>
    </row>
    <row r="214" spans="1:97" x14ac:dyDescent="0.25">
      <c r="A214" s="7">
        <v>210</v>
      </c>
      <c r="B214" s="41"/>
      <c r="C214" s="41"/>
      <c r="D214" s="41"/>
      <c r="E214" s="41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P214" s="10">
        <f t="shared" si="59"/>
        <v>0</v>
      </c>
      <c r="BR214" s="11">
        <v>0</v>
      </c>
      <c r="BT214" s="15"/>
      <c r="BV214" s="13">
        <f t="shared" si="60"/>
        <v>0</v>
      </c>
      <c r="BX214" s="14"/>
      <c r="BY214" s="8"/>
      <c r="BZ214" s="13">
        <f t="shared" si="61"/>
        <v>0</v>
      </c>
      <c r="CB214" s="15"/>
      <c r="CD214" s="8"/>
      <c r="CE214" s="13">
        <f t="shared" si="62"/>
        <v>0</v>
      </c>
      <c r="CG214" s="9"/>
      <c r="CH214" s="13">
        <f t="shared" si="63"/>
        <v>0</v>
      </c>
      <c r="CI214" s="16">
        <f t="shared" si="64"/>
        <v>0</v>
      </c>
      <c r="CK214" s="8">
        <f t="shared" si="54"/>
        <v>0</v>
      </c>
      <c r="CL214" s="13">
        <f t="shared" si="55"/>
        <v>0</v>
      </c>
      <c r="CM214" s="13">
        <f t="shared" si="56"/>
        <v>0</v>
      </c>
      <c r="CO214" s="14">
        <f t="shared" si="67"/>
        <v>0</v>
      </c>
      <c r="CP214" s="8">
        <f t="shared" si="65"/>
        <v>0</v>
      </c>
      <c r="CQ214" s="13">
        <f t="shared" si="57"/>
        <v>0</v>
      </c>
      <c r="CR214" s="17" t="str">
        <f t="shared" si="66"/>
        <v>nenhuma</v>
      </c>
      <c r="CS214" s="13">
        <f t="shared" si="58"/>
        <v>0</v>
      </c>
    </row>
    <row r="215" spans="1:97" x14ac:dyDescent="0.25">
      <c r="A215" s="7">
        <v>211</v>
      </c>
      <c r="B215" s="41"/>
      <c r="C215" s="41"/>
      <c r="D215" s="41"/>
      <c r="E215" s="41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P215" s="10">
        <f t="shared" si="59"/>
        <v>0</v>
      </c>
      <c r="BR215" s="11">
        <v>0</v>
      </c>
      <c r="BT215" s="15"/>
      <c r="BV215" s="13">
        <f t="shared" si="60"/>
        <v>0</v>
      </c>
      <c r="BX215" s="14"/>
      <c r="BY215" s="8"/>
      <c r="BZ215" s="13">
        <f t="shared" si="61"/>
        <v>0</v>
      </c>
      <c r="CB215" s="15"/>
      <c r="CD215" s="8"/>
      <c r="CE215" s="13">
        <f t="shared" si="62"/>
        <v>0</v>
      </c>
      <c r="CG215" s="9"/>
      <c r="CH215" s="13">
        <f t="shared" si="63"/>
        <v>0</v>
      </c>
      <c r="CI215" s="16">
        <f t="shared" si="64"/>
        <v>0</v>
      </c>
      <c r="CK215" s="8">
        <f t="shared" si="54"/>
        <v>0</v>
      </c>
      <c r="CL215" s="13">
        <f t="shared" si="55"/>
        <v>0</v>
      </c>
      <c r="CM215" s="13">
        <f t="shared" si="56"/>
        <v>0</v>
      </c>
      <c r="CO215" s="14">
        <f t="shared" si="67"/>
        <v>0</v>
      </c>
      <c r="CP215" s="8">
        <f t="shared" si="65"/>
        <v>0</v>
      </c>
      <c r="CQ215" s="13">
        <f t="shared" si="57"/>
        <v>0</v>
      </c>
      <c r="CR215" s="17" t="str">
        <f t="shared" si="66"/>
        <v>nenhuma</v>
      </c>
      <c r="CS215" s="13">
        <f t="shared" si="58"/>
        <v>0</v>
      </c>
    </row>
    <row r="216" spans="1:97" x14ac:dyDescent="0.25">
      <c r="A216" s="7">
        <v>212</v>
      </c>
      <c r="B216" s="41"/>
      <c r="C216" s="41"/>
      <c r="D216" s="41"/>
      <c r="E216" s="41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P216" s="10">
        <f t="shared" si="59"/>
        <v>0</v>
      </c>
      <c r="BR216" s="11">
        <v>0</v>
      </c>
      <c r="BT216" s="15"/>
      <c r="BV216" s="13">
        <f t="shared" si="60"/>
        <v>0</v>
      </c>
      <c r="BX216" s="14"/>
      <c r="BY216" s="8"/>
      <c r="BZ216" s="13">
        <f t="shared" si="61"/>
        <v>0</v>
      </c>
      <c r="CB216" s="15"/>
      <c r="CD216" s="8"/>
      <c r="CE216" s="13">
        <f t="shared" si="62"/>
        <v>0</v>
      </c>
      <c r="CG216" s="9"/>
      <c r="CH216" s="13">
        <f t="shared" si="63"/>
        <v>0</v>
      </c>
      <c r="CI216" s="16">
        <f t="shared" si="64"/>
        <v>0</v>
      </c>
      <c r="CK216" s="8">
        <f t="shared" si="54"/>
        <v>0</v>
      </c>
      <c r="CL216" s="13">
        <f t="shared" si="55"/>
        <v>0</v>
      </c>
      <c r="CM216" s="13">
        <f t="shared" si="56"/>
        <v>0</v>
      </c>
      <c r="CO216" s="14">
        <f t="shared" si="67"/>
        <v>0</v>
      </c>
      <c r="CP216" s="8">
        <f t="shared" si="65"/>
        <v>0</v>
      </c>
      <c r="CQ216" s="13">
        <f t="shared" si="57"/>
        <v>0</v>
      </c>
      <c r="CR216" s="17" t="str">
        <f t="shared" si="66"/>
        <v>nenhuma</v>
      </c>
      <c r="CS216" s="13">
        <f t="shared" si="58"/>
        <v>0</v>
      </c>
    </row>
    <row r="217" spans="1:97" x14ac:dyDescent="0.25">
      <c r="A217" s="7">
        <v>213</v>
      </c>
      <c r="B217" s="41"/>
      <c r="C217" s="41"/>
      <c r="D217" s="41"/>
      <c r="E217" s="41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P217" s="10">
        <f t="shared" si="59"/>
        <v>0</v>
      </c>
      <c r="BR217" s="11">
        <v>0</v>
      </c>
      <c r="BT217" s="15"/>
      <c r="BV217" s="13">
        <f t="shared" si="60"/>
        <v>0</v>
      </c>
      <c r="BX217" s="14"/>
      <c r="BY217" s="8"/>
      <c r="BZ217" s="13">
        <f t="shared" si="61"/>
        <v>0</v>
      </c>
      <c r="CB217" s="15"/>
      <c r="CD217" s="8"/>
      <c r="CE217" s="13">
        <f t="shared" si="62"/>
        <v>0</v>
      </c>
      <c r="CG217" s="9"/>
      <c r="CH217" s="13">
        <f t="shared" si="63"/>
        <v>0</v>
      </c>
      <c r="CI217" s="16">
        <f t="shared" si="64"/>
        <v>0</v>
      </c>
      <c r="CK217" s="8">
        <f t="shared" si="54"/>
        <v>0</v>
      </c>
      <c r="CL217" s="13">
        <f t="shared" si="55"/>
        <v>0</v>
      </c>
      <c r="CM217" s="13">
        <f t="shared" si="56"/>
        <v>0</v>
      </c>
      <c r="CO217" s="14">
        <f t="shared" si="67"/>
        <v>0</v>
      </c>
      <c r="CP217" s="8">
        <f t="shared" si="65"/>
        <v>0</v>
      </c>
      <c r="CQ217" s="13">
        <f t="shared" si="57"/>
        <v>0</v>
      </c>
      <c r="CR217" s="17" t="str">
        <f t="shared" si="66"/>
        <v>nenhuma</v>
      </c>
      <c r="CS217" s="13">
        <f t="shared" si="58"/>
        <v>0</v>
      </c>
    </row>
    <row r="218" spans="1:97" x14ac:dyDescent="0.25">
      <c r="A218" s="7">
        <v>214</v>
      </c>
      <c r="B218" s="41"/>
      <c r="C218" s="41"/>
      <c r="D218" s="41"/>
      <c r="E218" s="41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P218" s="10">
        <f t="shared" si="59"/>
        <v>0</v>
      </c>
      <c r="BR218" s="11">
        <v>0</v>
      </c>
      <c r="BT218" s="15"/>
      <c r="BV218" s="13">
        <f t="shared" si="60"/>
        <v>0</v>
      </c>
      <c r="BX218" s="14"/>
      <c r="BY218" s="8"/>
      <c r="BZ218" s="13">
        <f t="shared" si="61"/>
        <v>0</v>
      </c>
      <c r="CB218" s="15"/>
      <c r="CD218" s="8"/>
      <c r="CE218" s="13">
        <f t="shared" si="62"/>
        <v>0</v>
      </c>
      <c r="CG218" s="9"/>
      <c r="CH218" s="13">
        <f t="shared" si="63"/>
        <v>0</v>
      </c>
      <c r="CI218" s="16">
        <f t="shared" si="64"/>
        <v>0</v>
      </c>
      <c r="CK218" s="8">
        <f t="shared" si="54"/>
        <v>0</v>
      </c>
      <c r="CL218" s="13">
        <f t="shared" si="55"/>
        <v>0</v>
      </c>
      <c r="CM218" s="13">
        <f t="shared" si="56"/>
        <v>0</v>
      </c>
      <c r="CO218" s="14">
        <f t="shared" si="67"/>
        <v>0</v>
      </c>
      <c r="CP218" s="8">
        <f t="shared" si="65"/>
        <v>0</v>
      </c>
      <c r="CQ218" s="13">
        <f t="shared" si="57"/>
        <v>0</v>
      </c>
      <c r="CR218" s="17" t="str">
        <f t="shared" si="66"/>
        <v>nenhuma</v>
      </c>
      <c r="CS218" s="13">
        <f t="shared" si="58"/>
        <v>0</v>
      </c>
    </row>
    <row r="219" spans="1:97" x14ac:dyDescent="0.25">
      <c r="A219" s="7">
        <v>215</v>
      </c>
      <c r="B219" s="41"/>
      <c r="C219" s="41"/>
      <c r="D219" s="41"/>
      <c r="E219" s="41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P219" s="10">
        <f t="shared" si="59"/>
        <v>0</v>
      </c>
      <c r="BR219" s="11">
        <v>0</v>
      </c>
      <c r="BT219" s="15"/>
      <c r="BV219" s="13">
        <f t="shared" si="60"/>
        <v>0</v>
      </c>
      <c r="BX219" s="14"/>
      <c r="BY219" s="8"/>
      <c r="BZ219" s="13">
        <f t="shared" si="61"/>
        <v>0</v>
      </c>
      <c r="CB219" s="15"/>
      <c r="CD219" s="8"/>
      <c r="CE219" s="13">
        <f t="shared" si="62"/>
        <v>0</v>
      </c>
      <c r="CG219" s="9"/>
      <c r="CH219" s="13">
        <f t="shared" si="63"/>
        <v>0</v>
      </c>
      <c r="CI219" s="16">
        <f t="shared" si="64"/>
        <v>0</v>
      </c>
      <c r="CK219" s="8">
        <f t="shared" si="54"/>
        <v>0</v>
      </c>
      <c r="CL219" s="13">
        <f t="shared" ref="CL219:CL220" si="68">IF(CK219="","",SUMIF($CB$5:$CB$220,"="&amp;CK219,$CH$5:$CH$220))</f>
        <v>0</v>
      </c>
      <c r="CM219" s="13">
        <f t="shared" ref="CM219:CM220" si="69">IF(CE219&gt;=0,IF(CL219&gt;=0,CE219-CL219,0),0)</f>
        <v>0</v>
      </c>
      <c r="CO219" s="14">
        <f t="shared" si="67"/>
        <v>0</v>
      </c>
      <c r="CP219" s="8">
        <f t="shared" si="65"/>
        <v>0</v>
      </c>
      <c r="CQ219" s="13">
        <f t="shared" ref="CQ219:CQ220" si="70">IF(CO219="","",IF(CP219="",SUMIF($B$5:$B$220,"="&amp;CO219,$CH$5:$CH$220),SUMIFS($CH$5:$CH$220, $B$5:$B$220, "="&amp;CO219, $C$5:$C$220,"="&amp;CP219)))</f>
        <v>0</v>
      </c>
      <c r="CR219" s="17" t="str">
        <f t="shared" si="66"/>
        <v>nenhuma</v>
      </c>
      <c r="CS219" s="13">
        <f t="shared" si="58"/>
        <v>0</v>
      </c>
    </row>
    <row r="220" spans="1:97" x14ac:dyDescent="0.25">
      <c r="A220" s="7">
        <v>216</v>
      </c>
      <c r="B220" s="41"/>
      <c r="C220" s="41"/>
      <c r="D220" s="41"/>
      <c r="E220" s="41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P220" s="10">
        <f t="shared" si="59"/>
        <v>0</v>
      </c>
      <c r="BR220" s="11">
        <v>0</v>
      </c>
      <c r="BT220" s="15"/>
      <c r="BV220" s="13">
        <f t="shared" si="60"/>
        <v>0</v>
      </c>
      <c r="BX220" s="14"/>
      <c r="BY220" s="8"/>
      <c r="BZ220" s="13">
        <f t="shared" si="61"/>
        <v>0</v>
      </c>
      <c r="CB220" s="15"/>
      <c r="CD220" s="8"/>
      <c r="CE220" s="13">
        <f t="shared" si="62"/>
        <v>0</v>
      </c>
      <c r="CG220" s="9"/>
      <c r="CH220" s="13">
        <f t="shared" si="63"/>
        <v>0</v>
      </c>
      <c r="CI220" s="16">
        <f t="shared" si="64"/>
        <v>0</v>
      </c>
      <c r="CK220" s="8">
        <f t="shared" si="54"/>
        <v>0</v>
      </c>
      <c r="CL220" s="13">
        <f t="shared" si="68"/>
        <v>0</v>
      </c>
      <c r="CM220" s="13">
        <f t="shared" si="69"/>
        <v>0</v>
      </c>
      <c r="CO220" s="14">
        <f t="shared" si="67"/>
        <v>0</v>
      </c>
      <c r="CP220" s="8">
        <f t="shared" si="65"/>
        <v>0</v>
      </c>
      <c r="CQ220" s="13">
        <f t="shared" si="70"/>
        <v>0</v>
      </c>
      <c r="CR220" s="17" t="str">
        <f t="shared" si="66"/>
        <v>nenhuma</v>
      </c>
      <c r="CS220" s="13">
        <f t="shared" si="58"/>
        <v>0</v>
      </c>
    </row>
    <row r="221" spans="1:97" x14ac:dyDescent="0.25">
      <c r="A221" s="3" t="s">
        <v>25</v>
      </c>
      <c r="B221" s="20"/>
      <c r="C221" s="20"/>
      <c r="D221" s="20"/>
      <c r="E221" s="20"/>
      <c r="F221" s="13">
        <f>SUM(F5:F220)</f>
        <v>0</v>
      </c>
      <c r="G221" s="13">
        <f>SUM(G5:G220)</f>
        <v>0</v>
      </c>
      <c r="H221" s="13">
        <f>SUM(H5:H220)</f>
        <v>0</v>
      </c>
      <c r="I221" s="13">
        <f>SUM(I5:I220)</f>
        <v>0</v>
      </c>
      <c r="J221" s="13"/>
      <c r="K221" s="13">
        <f>SUM(K5:K220)</f>
        <v>0</v>
      </c>
      <c r="L221" s="13">
        <f>SUM(L5:L220)</f>
        <v>0</v>
      </c>
      <c r="M221" s="13"/>
      <c r="N221" s="13">
        <f>SUM(N5:N220)</f>
        <v>0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V221" s="13">
        <f>SUM(BV5:BV220)</f>
        <v>0</v>
      </c>
      <c r="BZ221" s="13">
        <f>SUM(BZ5:BZ220)</f>
        <v>0</v>
      </c>
      <c r="CE221" s="13">
        <f>SUM(CE5:CE220)</f>
        <v>0</v>
      </c>
      <c r="CH221" s="13">
        <f>SUM(CH5:CH220)</f>
        <v>0</v>
      </c>
      <c r="CI221" s="13">
        <f>SUM(CI5:CI220)</f>
        <v>0</v>
      </c>
      <c r="CL221" s="13">
        <f>SUM(CL5:CL220)</f>
        <v>0</v>
      </c>
      <c r="CM221" s="13">
        <f>SUM(CM5:CM220)</f>
        <v>0</v>
      </c>
      <c r="CQ221" s="13">
        <f>SUM(CQ5:CQ220)</f>
        <v>0</v>
      </c>
      <c r="CS221" s="13">
        <f>SUM(CS5:CS220)</f>
        <v>0</v>
      </c>
    </row>
  </sheetData>
  <mergeCells count="32">
    <mergeCell ref="CO3:CO4"/>
    <mergeCell ref="CP3:CP4"/>
    <mergeCell ref="CQ3:CQ4"/>
    <mergeCell ref="CR3:CR4"/>
    <mergeCell ref="CS3:CS4"/>
    <mergeCell ref="BX2:BZ2"/>
    <mergeCell ref="CB2:CB4"/>
    <mergeCell ref="CD2:CE2"/>
    <mergeCell ref="CG2:CM2"/>
    <mergeCell ref="CO2:CS2"/>
    <mergeCell ref="BX3:BX4"/>
    <mergeCell ref="BY3:BY4"/>
    <mergeCell ref="BZ3:BZ4"/>
    <mergeCell ref="CD3:CD4"/>
    <mergeCell ref="CE3:CE4"/>
    <mergeCell ref="CG3:CG4"/>
    <mergeCell ref="CH3:CH4"/>
    <mergeCell ref="CI3:CI4"/>
    <mergeCell ref="CK3:CK4"/>
    <mergeCell ref="CL3:CL4"/>
    <mergeCell ref="CM3:CM4"/>
    <mergeCell ref="A2:BN2"/>
    <mergeCell ref="BP2:BP4"/>
    <mergeCell ref="BR2:BR4"/>
    <mergeCell ref="BT2:BT4"/>
    <mergeCell ref="BV2:BV4"/>
    <mergeCell ref="A3:A4"/>
    <mergeCell ref="B3:B4"/>
    <mergeCell ref="C3:C4"/>
    <mergeCell ref="D3:D4"/>
    <mergeCell ref="E3:E4"/>
    <mergeCell ref="F3:BN3"/>
  </mergeCells>
  <conditionalFormatting sqref="CI5:CI220"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FFCLRP - USP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dc:description/>
  <cp:lastModifiedBy>Marcelo</cp:lastModifiedBy>
  <cp:revision>12</cp:revision>
  <dcterms:created xsi:type="dcterms:W3CDTF">2015-01-15T12:38:10Z</dcterms:created>
  <dcterms:modified xsi:type="dcterms:W3CDTF">2026-05-08T16:08:17Z</dcterms:modified>
  <dc:language>pt-BR</dc:language>
</cp:coreProperties>
</file>