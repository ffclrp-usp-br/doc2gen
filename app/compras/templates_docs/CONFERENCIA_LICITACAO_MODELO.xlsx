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Marcelo\Desktop\tmp\Compras\PREGÃO\Pregão 2026--SEI5677 - Eletrodomésticos\"/>
    </mc:Choice>
  </mc:AlternateContent>
  <xr:revisionPtr revIDLastSave="0" documentId="13_ncr:1_{22ED4676-E589-4147-AA24-F4A1F6F568D6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Plan1" sheetId="1" r:id="rId1"/>
    <sheet name="Plan2" sheetId="2" r:id="rId2"/>
    <sheet name="Plan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H11" i="1" l="1"/>
  <c r="BH12" i="1"/>
  <c r="BH13" i="1"/>
  <c r="BI13" i="1" s="1"/>
  <c r="BH14" i="1"/>
  <c r="BH15" i="1"/>
  <c r="BI15" i="1" s="1"/>
  <c r="BH16" i="1"/>
  <c r="BH17" i="1"/>
  <c r="BH18" i="1"/>
  <c r="BH19" i="1"/>
  <c r="BH20" i="1"/>
  <c r="BH21" i="1"/>
  <c r="BH22" i="1"/>
  <c r="BH23" i="1"/>
  <c r="BH24" i="1"/>
  <c r="BH25" i="1"/>
  <c r="BI25" i="1" s="1"/>
  <c r="BH26" i="1"/>
  <c r="BH27" i="1"/>
  <c r="BI27" i="1" s="1"/>
  <c r="BG11" i="1"/>
  <c r="BG12" i="1"/>
  <c r="BG13" i="1"/>
  <c r="BG14" i="1"/>
  <c r="BG15" i="1"/>
  <c r="BG16" i="1"/>
  <c r="BG17" i="1"/>
  <c r="BG18" i="1"/>
  <c r="BG19" i="1"/>
  <c r="BG20" i="1"/>
  <c r="BG21" i="1"/>
  <c r="BG22" i="1"/>
  <c r="BG23" i="1"/>
  <c r="BG24" i="1"/>
  <c r="BG25" i="1"/>
  <c r="BG26" i="1"/>
  <c r="BG27" i="1"/>
  <c r="BG28" i="1"/>
  <c r="N221" i="1"/>
  <c r="L221" i="1"/>
  <c r="K221" i="1"/>
  <c r="I221" i="1"/>
  <c r="H221" i="1"/>
  <c r="G221" i="1"/>
  <c r="F221" i="1"/>
  <c r="BH220" i="1"/>
  <c r="BG220" i="1"/>
  <c r="BI220" i="1" s="1"/>
  <c r="BC220" i="1"/>
  <c r="BD220" i="1" s="1"/>
  <c r="AZ220" i="1"/>
  <c r="AW220" i="1"/>
  <c r="AR220" i="1"/>
  <c r="BK220" i="1" s="1"/>
  <c r="BJ220" i="1" s="1"/>
  <c r="AH220" i="1"/>
  <c r="AN220" i="1" s="1"/>
  <c r="BA220" i="1" s="1"/>
  <c r="BH219" i="1"/>
  <c r="BG219" i="1"/>
  <c r="BI219" i="1" s="1"/>
  <c r="BD219" i="1"/>
  <c r="BC219" i="1"/>
  <c r="AZ219" i="1"/>
  <c r="AW219" i="1"/>
  <c r="AR219" i="1"/>
  <c r="BK219" i="1" s="1"/>
  <c r="BJ219" i="1" s="1"/>
  <c r="AH219" i="1"/>
  <c r="AN219" i="1" s="1"/>
  <c r="BA219" i="1" s="1"/>
  <c r="BH218" i="1"/>
  <c r="BG218" i="1"/>
  <c r="BI218" i="1" s="1"/>
  <c r="BD218" i="1"/>
  <c r="BC218" i="1"/>
  <c r="BA218" i="1"/>
  <c r="AZ218" i="1"/>
  <c r="AW218" i="1"/>
  <c r="AR218" i="1"/>
  <c r="BK218" i="1" s="1"/>
  <c r="BJ218" i="1" s="1"/>
  <c r="AN218" i="1"/>
  <c r="AH218" i="1"/>
  <c r="BI217" i="1"/>
  <c r="BH217" i="1"/>
  <c r="BG217" i="1"/>
  <c r="BC217" i="1"/>
  <c r="BD217" i="1" s="1"/>
  <c r="AZ217" i="1"/>
  <c r="AW217" i="1"/>
  <c r="AR217" i="1"/>
  <c r="BK217" i="1" s="1"/>
  <c r="BJ217" i="1" s="1"/>
  <c r="AH217" i="1"/>
  <c r="AN217" i="1" s="1"/>
  <c r="BA217" i="1" s="1"/>
  <c r="BI216" i="1"/>
  <c r="BH216" i="1"/>
  <c r="BG216" i="1"/>
  <c r="BC216" i="1"/>
  <c r="BD216" i="1" s="1"/>
  <c r="AZ216" i="1"/>
  <c r="AW216" i="1"/>
  <c r="BE216" i="1" s="1"/>
  <c r="AR216" i="1"/>
  <c r="BK216" i="1" s="1"/>
  <c r="BJ216" i="1" s="1"/>
  <c r="AN216" i="1"/>
  <c r="BA216" i="1" s="1"/>
  <c r="AH216" i="1"/>
  <c r="BH215" i="1"/>
  <c r="BI215" i="1" s="1"/>
  <c r="BG215" i="1"/>
  <c r="BD215" i="1"/>
  <c r="BC215" i="1"/>
  <c r="AZ215" i="1"/>
  <c r="AW215" i="1"/>
  <c r="AR215" i="1"/>
  <c r="BK215" i="1" s="1"/>
  <c r="BJ215" i="1" s="1"/>
  <c r="AN215" i="1"/>
  <c r="BA215" i="1" s="1"/>
  <c r="AH215" i="1"/>
  <c r="BH214" i="1"/>
  <c r="BG214" i="1"/>
  <c r="BI214" i="1" s="1"/>
  <c r="BC214" i="1"/>
  <c r="BD214" i="1" s="1"/>
  <c r="AZ214" i="1"/>
  <c r="AW214" i="1"/>
  <c r="AR214" i="1"/>
  <c r="BK214" i="1" s="1"/>
  <c r="BJ214" i="1" s="1"/>
  <c r="AH214" i="1"/>
  <c r="AN214" i="1" s="1"/>
  <c r="BA214" i="1" s="1"/>
  <c r="BI213" i="1"/>
  <c r="BH213" i="1"/>
  <c r="BG213" i="1"/>
  <c r="BD213" i="1"/>
  <c r="BC213" i="1"/>
  <c r="AZ213" i="1"/>
  <c r="AW213" i="1"/>
  <c r="AR213" i="1"/>
  <c r="BK213" i="1" s="1"/>
  <c r="BJ213" i="1" s="1"/>
  <c r="AH213" i="1"/>
  <c r="AN213" i="1" s="1"/>
  <c r="BA213" i="1" s="1"/>
  <c r="BH212" i="1"/>
  <c r="BG212" i="1"/>
  <c r="BI212" i="1" s="1"/>
  <c r="BD212" i="1"/>
  <c r="BC212" i="1"/>
  <c r="AZ212" i="1"/>
  <c r="AW212" i="1"/>
  <c r="AR212" i="1"/>
  <c r="BK212" i="1" s="1"/>
  <c r="BJ212" i="1" s="1"/>
  <c r="AN212" i="1"/>
  <c r="BA212" i="1" s="1"/>
  <c r="AH212" i="1"/>
  <c r="BI211" i="1"/>
  <c r="BH211" i="1"/>
  <c r="BG211" i="1"/>
  <c r="BC211" i="1"/>
  <c r="BD211" i="1" s="1"/>
  <c r="AZ211" i="1"/>
  <c r="AW211" i="1"/>
  <c r="AR211" i="1"/>
  <c r="BK211" i="1" s="1"/>
  <c r="BJ211" i="1" s="1"/>
  <c r="AH211" i="1"/>
  <c r="AN211" i="1" s="1"/>
  <c r="BA211" i="1" s="1"/>
  <c r="BI210" i="1"/>
  <c r="BH210" i="1"/>
  <c r="BG210" i="1"/>
  <c r="BC210" i="1"/>
  <c r="BD210" i="1" s="1"/>
  <c r="BA210" i="1"/>
  <c r="AZ210" i="1"/>
  <c r="AW210" i="1"/>
  <c r="BE210" i="1" s="1"/>
  <c r="AR210" i="1"/>
  <c r="BK210" i="1" s="1"/>
  <c r="BJ210" i="1" s="1"/>
  <c r="AN210" i="1"/>
  <c r="AH210" i="1"/>
  <c r="BH209" i="1"/>
  <c r="BI209" i="1" s="1"/>
  <c r="BG209" i="1"/>
  <c r="BD209" i="1"/>
  <c r="BC209" i="1"/>
  <c r="AZ209" i="1"/>
  <c r="AW209" i="1"/>
  <c r="BE209" i="1" s="1"/>
  <c r="AR209" i="1"/>
  <c r="BK209" i="1" s="1"/>
  <c r="BJ209" i="1" s="1"/>
  <c r="AN209" i="1"/>
  <c r="BA209" i="1" s="1"/>
  <c r="AH209" i="1"/>
  <c r="BH208" i="1"/>
  <c r="BG208" i="1"/>
  <c r="BI208" i="1" s="1"/>
  <c r="BC208" i="1"/>
  <c r="BD208" i="1" s="1"/>
  <c r="AZ208" i="1"/>
  <c r="AW208" i="1"/>
  <c r="AR208" i="1"/>
  <c r="BK208" i="1" s="1"/>
  <c r="BJ208" i="1" s="1"/>
  <c r="AH208" i="1"/>
  <c r="AN208" i="1" s="1"/>
  <c r="BA208" i="1" s="1"/>
  <c r="BI207" i="1"/>
  <c r="BH207" i="1"/>
  <c r="BG207" i="1"/>
  <c r="BD207" i="1"/>
  <c r="BC207" i="1"/>
  <c r="BA207" i="1"/>
  <c r="AZ207" i="1"/>
  <c r="AW207" i="1"/>
  <c r="AR207" i="1"/>
  <c r="BK207" i="1" s="1"/>
  <c r="BJ207" i="1" s="1"/>
  <c r="AH207" i="1"/>
  <c r="AN207" i="1" s="1"/>
  <c r="BH206" i="1"/>
  <c r="BG206" i="1"/>
  <c r="BD206" i="1"/>
  <c r="BC206" i="1"/>
  <c r="AZ206" i="1"/>
  <c r="AW206" i="1"/>
  <c r="AR206" i="1"/>
  <c r="BK206" i="1" s="1"/>
  <c r="BJ206" i="1" s="1"/>
  <c r="AN206" i="1"/>
  <c r="BA206" i="1" s="1"/>
  <c r="AH206" i="1"/>
  <c r="BI205" i="1"/>
  <c r="BH205" i="1"/>
  <c r="BG205" i="1"/>
  <c r="BC205" i="1"/>
  <c r="BD205" i="1" s="1"/>
  <c r="AZ205" i="1"/>
  <c r="AW205" i="1"/>
  <c r="AR205" i="1"/>
  <c r="BK205" i="1" s="1"/>
  <c r="BJ205" i="1" s="1"/>
  <c r="AH205" i="1"/>
  <c r="AN205" i="1" s="1"/>
  <c r="BA205" i="1" s="1"/>
  <c r="BI204" i="1"/>
  <c r="BH204" i="1"/>
  <c r="BG204" i="1"/>
  <c r="BC204" i="1"/>
  <c r="BD204" i="1" s="1"/>
  <c r="AZ204" i="1"/>
  <c r="AW204" i="1"/>
  <c r="BE204" i="1" s="1"/>
  <c r="AR204" i="1"/>
  <c r="BK204" i="1" s="1"/>
  <c r="BJ204" i="1" s="1"/>
  <c r="AN204" i="1"/>
  <c r="BA204" i="1" s="1"/>
  <c r="AH204" i="1"/>
  <c r="BH203" i="1"/>
  <c r="BI203" i="1" s="1"/>
  <c r="BG203" i="1"/>
  <c r="BD203" i="1"/>
  <c r="BC203" i="1"/>
  <c r="AZ203" i="1"/>
  <c r="AW203" i="1"/>
  <c r="AR203" i="1"/>
  <c r="BK203" i="1" s="1"/>
  <c r="BJ203" i="1" s="1"/>
  <c r="AN203" i="1"/>
  <c r="BA203" i="1" s="1"/>
  <c r="AH203" i="1"/>
  <c r="BH202" i="1"/>
  <c r="BG202" i="1"/>
  <c r="BI202" i="1" s="1"/>
  <c r="BC202" i="1"/>
  <c r="BD202" i="1" s="1"/>
  <c r="AZ202" i="1"/>
  <c r="AW202" i="1"/>
  <c r="AR202" i="1"/>
  <c r="BK202" i="1" s="1"/>
  <c r="BJ202" i="1" s="1"/>
  <c r="AH202" i="1"/>
  <c r="AN202" i="1" s="1"/>
  <c r="BA202" i="1" s="1"/>
  <c r="BI201" i="1"/>
  <c r="BH201" i="1"/>
  <c r="BG201" i="1"/>
  <c r="BD201" i="1"/>
  <c r="BC201" i="1"/>
  <c r="BA201" i="1"/>
  <c r="AZ201" i="1"/>
  <c r="AW201" i="1"/>
  <c r="BE201" i="1" s="1"/>
  <c r="AR201" i="1"/>
  <c r="BK201" i="1" s="1"/>
  <c r="BJ201" i="1" s="1"/>
  <c r="AH201" i="1"/>
  <c r="AN201" i="1" s="1"/>
  <c r="BH200" i="1"/>
  <c r="BG200" i="1"/>
  <c r="BI200" i="1" s="1"/>
  <c r="BD200" i="1"/>
  <c r="BC200" i="1"/>
  <c r="AZ200" i="1"/>
  <c r="AW200" i="1"/>
  <c r="AR200" i="1"/>
  <c r="BK200" i="1" s="1"/>
  <c r="BJ200" i="1" s="1"/>
  <c r="AN200" i="1"/>
  <c r="BA200" i="1" s="1"/>
  <c r="AH200" i="1"/>
  <c r="BH199" i="1"/>
  <c r="BG199" i="1"/>
  <c r="BI199" i="1" s="1"/>
  <c r="BC199" i="1"/>
  <c r="BD199" i="1" s="1"/>
  <c r="AZ199" i="1"/>
  <c r="AW199" i="1"/>
  <c r="AR199" i="1"/>
  <c r="BK199" i="1" s="1"/>
  <c r="BJ199" i="1" s="1"/>
  <c r="AH199" i="1"/>
  <c r="AN199" i="1" s="1"/>
  <c r="BA199" i="1" s="1"/>
  <c r="BI198" i="1"/>
  <c r="BH198" i="1"/>
  <c r="BG198" i="1"/>
  <c r="BC198" i="1"/>
  <c r="BD198" i="1" s="1"/>
  <c r="BA198" i="1"/>
  <c r="AZ198" i="1"/>
  <c r="AW198" i="1"/>
  <c r="BE198" i="1" s="1"/>
  <c r="AR198" i="1"/>
  <c r="BK198" i="1" s="1"/>
  <c r="BJ198" i="1" s="1"/>
  <c r="AN198" i="1"/>
  <c r="AH198" i="1"/>
  <c r="BH197" i="1"/>
  <c r="BI197" i="1" s="1"/>
  <c r="BG197" i="1"/>
  <c r="BD197" i="1"/>
  <c r="BC197" i="1"/>
  <c r="AZ197" i="1"/>
  <c r="AW197" i="1"/>
  <c r="BE197" i="1" s="1"/>
  <c r="AR197" i="1"/>
  <c r="BK197" i="1" s="1"/>
  <c r="BJ197" i="1" s="1"/>
  <c r="AN197" i="1"/>
  <c r="BA197" i="1" s="1"/>
  <c r="AH197" i="1"/>
  <c r="BH196" i="1"/>
  <c r="BG196" i="1"/>
  <c r="BI196" i="1" s="1"/>
  <c r="BC196" i="1"/>
  <c r="BD196" i="1" s="1"/>
  <c r="AZ196" i="1"/>
  <c r="AW196" i="1"/>
  <c r="AR196" i="1"/>
  <c r="BK196" i="1" s="1"/>
  <c r="BJ196" i="1" s="1"/>
  <c r="AH196" i="1"/>
  <c r="AN196" i="1" s="1"/>
  <c r="BA196" i="1" s="1"/>
  <c r="BI195" i="1"/>
  <c r="BH195" i="1"/>
  <c r="BG195" i="1"/>
  <c r="BD195" i="1"/>
  <c r="BC195" i="1"/>
  <c r="BA195" i="1"/>
  <c r="AZ195" i="1"/>
  <c r="AW195" i="1"/>
  <c r="AR195" i="1"/>
  <c r="BK195" i="1" s="1"/>
  <c r="BJ195" i="1" s="1"/>
  <c r="AH195" i="1"/>
  <c r="AN195" i="1" s="1"/>
  <c r="BH194" i="1"/>
  <c r="BG194" i="1"/>
  <c r="BD194" i="1"/>
  <c r="BC194" i="1"/>
  <c r="AZ194" i="1"/>
  <c r="AW194" i="1"/>
  <c r="AR194" i="1"/>
  <c r="BK194" i="1" s="1"/>
  <c r="BJ194" i="1" s="1"/>
  <c r="AN194" i="1"/>
  <c r="BA194" i="1" s="1"/>
  <c r="AH194" i="1"/>
  <c r="BI193" i="1"/>
  <c r="BH193" i="1"/>
  <c r="BG193" i="1"/>
  <c r="BC193" i="1"/>
  <c r="BD193" i="1" s="1"/>
  <c r="AZ193" i="1"/>
  <c r="AW193" i="1"/>
  <c r="BE193" i="1" s="1"/>
  <c r="AR193" i="1"/>
  <c r="BK193" i="1" s="1"/>
  <c r="BJ193" i="1" s="1"/>
  <c r="AH193" i="1"/>
  <c r="AN193" i="1" s="1"/>
  <c r="BA193" i="1" s="1"/>
  <c r="BI192" i="1"/>
  <c r="BH192" i="1"/>
  <c r="BG192" i="1"/>
  <c r="BC192" i="1"/>
  <c r="BD192" i="1" s="1"/>
  <c r="AZ192" i="1"/>
  <c r="AW192" i="1"/>
  <c r="AR192" i="1"/>
  <c r="BK192" i="1" s="1"/>
  <c r="BJ192" i="1" s="1"/>
  <c r="AN192" i="1"/>
  <c r="BA192" i="1" s="1"/>
  <c r="AH192" i="1"/>
  <c r="BH191" i="1"/>
  <c r="BI191" i="1" s="1"/>
  <c r="BG191" i="1"/>
  <c r="BD191" i="1"/>
  <c r="BC191" i="1"/>
  <c r="AZ191" i="1"/>
  <c r="AW191" i="1"/>
  <c r="BE191" i="1" s="1"/>
  <c r="AR191" i="1"/>
  <c r="BK191" i="1" s="1"/>
  <c r="BJ191" i="1" s="1"/>
  <c r="AN191" i="1"/>
  <c r="BA191" i="1" s="1"/>
  <c r="AH191" i="1"/>
  <c r="BH190" i="1"/>
  <c r="BG190" i="1"/>
  <c r="BI190" i="1" s="1"/>
  <c r="BC190" i="1"/>
  <c r="BD190" i="1" s="1"/>
  <c r="AZ190" i="1"/>
  <c r="AW190" i="1"/>
  <c r="AR190" i="1"/>
  <c r="BK190" i="1" s="1"/>
  <c r="BJ190" i="1" s="1"/>
  <c r="AH190" i="1"/>
  <c r="AN190" i="1" s="1"/>
  <c r="BA190" i="1" s="1"/>
  <c r="BI189" i="1"/>
  <c r="BH189" i="1"/>
  <c r="BG189" i="1"/>
  <c r="BD189" i="1"/>
  <c r="BC189" i="1"/>
  <c r="AZ189" i="1"/>
  <c r="AW189" i="1"/>
  <c r="AR189" i="1"/>
  <c r="BK189" i="1" s="1"/>
  <c r="BJ189" i="1" s="1"/>
  <c r="AH189" i="1"/>
  <c r="AN189" i="1" s="1"/>
  <c r="BA189" i="1" s="1"/>
  <c r="BH188" i="1"/>
  <c r="BG188" i="1"/>
  <c r="BI188" i="1" s="1"/>
  <c r="BD188" i="1"/>
  <c r="BC188" i="1"/>
  <c r="AZ188" i="1"/>
  <c r="AW188" i="1"/>
  <c r="AR188" i="1"/>
  <c r="BK188" i="1" s="1"/>
  <c r="BJ188" i="1" s="1"/>
  <c r="AN188" i="1"/>
  <c r="BA188" i="1" s="1"/>
  <c r="AH188" i="1"/>
  <c r="BH187" i="1"/>
  <c r="BG187" i="1"/>
  <c r="BI187" i="1" s="1"/>
  <c r="BC187" i="1"/>
  <c r="BD187" i="1" s="1"/>
  <c r="AZ187" i="1"/>
  <c r="AW187" i="1"/>
  <c r="AR187" i="1"/>
  <c r="BK187" i="1" s="1"/>
  <c r="BJ187" i="1" s="1"/>
  <c r="AH187" i="1"/>
  <c r="AN187" i="1" s="1"/>
  <c r="BA187" i="1" s="1"/>
  <c r="BI186" i="1"/>
  <c r="BH186" i="1"/>
  <c r="BG186" i="1"/>
  <c r="BC186" i="1"/>
  <c r="BD186" i="1" s="1"/>
  <c r="AZ186" i="1"/>
  <c r="AW186" i="1"/>
  <c r="AR186" i="1"/>
  <c r="BK186" i="1" s="1"/>
  <c r="BJ186" i="1" s="1"/>
  <c r="AN186" i="1"/>
  <c r="BA186" i="1" s="1"/>
  <c r="AH186" i="1"/>
  <c r="BH185" i="1"/>
  <c r="BI185" i="1" s="1"/>
  <c r="BG185" i="1"/>
  <c r="BD185" i="1"/>
  <c r="BC185" i="1"/>
  <c r="AZ185" i="1"/>
  <c r="AW185" i="1"/>
  <c r="AR185" i="1"/>
  <c r="BK185" i="1" s="1"/>
  <c r="BJ185" i="1" s="1"/>
  <c r="AN185" i="1"/>
  <c r="BA185" i="1" s="1"/>
  <c r="AH185" i="1"/>
  <c r="BH184" i="1"/>
  <c r="BG184" i="1"/>
  <c r="BI184" i="1" s="1"/>
  <c r="BC184" i="1"/>
  <c r="BD184" i="1" s="1"/>
  <c r="BA184" i="1"/>
  <c r="AZ184" i="1"/>
  <c r="AW184" i="1"/>
  <c r="BE184" i="1" s="1"/>
  <c r="AR184" i="1"/>
  <c r="BK184" i="1" s="1"/>
  <c r="BJ184" i="1" s="1"/>
  <c r="AH184" i="1"/>
  <c r="AN184" i="1" s="1"/>
  <c r="BI183" i="1"/>
  <c r="BH183" i="1"/>
  <c r="BG183" i="1"/>
  <c r="BD183" i="1"/>
  <c r="BC183" i="1"/>
  <c r="AZ183" i="1"/>
  <c r="AW183" i="1"/>
  <c r="BE183" i="1" s="1"/>
  <c r="AR183" i="1"/>
  <c r="BK183" i="1" s="1"/>
  <c r="BJ183" i="1" s="1"/>
  <c r="AH183" i="1"/>
  <c r="AN183" i="1" s="1"/>
  <c r="BA183" i="1" s="1"/>
  <c r="BH182" i="1"/>
  <c r="BG182" i="1"/>
  <c r="BD182" i="1"/>
  <c r="BC182" i="1"/>
  <c r="AZ182" i="1"/>
  <c r="AW182" i="1"/>
  <c r="AR182" i="1"/>
  <c r="BK182" i="1" s="1"/>
  <c r="BJ182" i="1" s="1"/>
  <c r="AN182" i="1"/>
  <c r="BA182" i="1" s="1"/>
  <c r="AH182" i="1"/>
  <c r="BI181" i="1"/>
  <c r="BH181" i="1"/>
  <c r="BG181" i="1"/>
  <c r="BC181" i="1"/>
  <c r="BD181" i="1" s="1"/>
  <c r="AZ181" i="1"/>
  <c r="AW181" i="1"/>
  <c r="AR181" i="1"/>
  <c r="BK181" i="1" s="1"/>
  <c r="BJ181" i="1" s="1"/>
  <c r="AH181" i="1"/>
  <c r="AN181" i="1" s="1"/>
  <c r="BA181" i="1" s="1"/>
  <c r="BI180" i="1"/>
  <c r="BH180" i="1"/>
  <c r="BG180" i="1"/>
  <c r="BC180" i="1"/>
  <c r="BD180" i="1" s="1"/>
  <c r="AZ180" i="1"/>
  <c r="AW180" i="1"/>
  <c r="AR180" i="1"/>
  <c r="BK180" i="1" s="1"/>
  <c r="BJ180" i="1" s="1"/>
  <c r="AN180" i="1"/>
  <c r="BA180" i="1" s="1"/>
  <c r="AH180" i="1"/>
  <c r="BH179" i="1"/>
  <c r="BI179" i="1" s="1"/>
  <c r="BG179" i="1"/>
  <c r="BD179" i="1"/>
  <c r="BC179" i="1"/>
  <c r="AZ179" i="1"/>
  <c r="AW179" i="1"/>
  <c r="AR179" i="1"/>
  <c r="BK179" i="1" s="1"/>
  <c r="BJ179" i="1" s="1"/>
  <c r="AN179" i="1"/>
  <c r="BA179" i="1" s="1"/>
  <c r="AH179" i="1"/>
  <c r="BH178" i="1"/>
  <c r="BG178" i="1"/>
  <c r="BI178" i="1" s="1"/>
  <c r="BC178" i="1"/>
  <c r="BD178" i="1" s="1"/>
  <c r="AZ178" i="1"/>
  <c r="AW178" i="1"/>
  <c r="AR178" i="1"/>
  <c r="BK178" i="1" s="1"/>
  <c r="BJ178" i="1" s="1"/>
  <c r="AH178" i="1"/>
  <c r="AN178" i="1" s="1"/>
  <c r="BA178" i="1" s="1"/>
  <c r="BI177" i="1"/>
  <c r="BH177" i="1"/>
  <c r="BG177" i="1"/>
  <c r="BD177" i="1"/>
  <c r="BC177" i="1"/>
  <c r="AZ177" i="1"/>
  <c r="AW177" i="1"/>
  <c r="BE177" i="1" s="1"/>
  <c r="AR177" i="1"/>
  <c r="BK177" i="1" s="1"/>
  <c r="BJ177" i="1" s="1"/>
  <c r="AH177" i="1"/>
  <c r="AN177" i="1" s="1"/>
  <c r="BA177" i="1" s="1"/>
  <c r="BH176" i="1"/>
  <c r="BG176" i="1"/>
  <c r="BD176" i="1"/>
  <c r="BC176" i="1"/>
  <c r="AZ176" i="1"/>
  <c r="AW176" i="1"/>
  <c r="AR176" i="1"/>
  <c r="BK176" i="1" s="1"/>
  <c r="BJ176" i="1" s="1"/>
  <c r="AN176" i="1"/>
  <c r="BA176" i="1" s="1"/>
  <c r="AH176" i="1"/>
  <c r="BI175" i="1"/>
  <c r="BH175" i="1"/>
  <c r="BG175" i="1"/>
  <c r="BC175" i="1"/>
  <c r="BD175" i="1" s="1"/>
  <c r="AZ175" i="1"/>
  <c r="AW175" i="1"/>
  <c r="AR175" i="1"/>
  <c r="BK175" i="1" s="1"/>
  <c r="BJ175" i="1" s="1"/>
  <c r="AH175" i="1"/>
  <c r="AN175" i="1" s="1"/>
  <c r="BA175" i="1" s="1"/>
  <c r="BI174" i="1"/>
  <c r="BH174" i="1"/>
  <c r="BG174" i="1"/>
  <c r="BC174" i="1"/>
  <c r="BD174" i="1" s="1"/>
  <c r="BA174" i="1"/>
  <c r="AZ174" i="1"/>
  <c r="AW174" i="1"/>
  <c r="BE174" i="1" s="1"/>
  <c r="AR174" i="1"/>
  <c r="BK174" i="1" s="1"/>
  <c r="BJ174" i="1" s="1"/>
  <c r="AN174" i="1"/>
  <c r="AH174" i="1"/>
  <c r="BH173" i="1"/>
  <c r="BI173" i="1" s="1"/>
  <c r="BG173" i="1"/>
  <c r="BD173" i="1"/>
  <c r="BC173" i="1"/>
  <c r="AZ173" i="1"/>
  <c r="AW173" i="1"/>
  <c r="BE173" i="1" s="1"/>
  <c r="AR173" i="1"/>
  <c r="BK173" i="1" s="1"/>
  <c r="BJ173" i="1" s="1"/>
  <c r="AN173" i="1"/>
  <c r="BA173" i="1" s="1"/>
  <c r="AH173" i="1"/>
  <c r="BH172" i="1"/>
  <c r="BG172" i="1"/>
  <c r="BI172" i="1" s="1"/>
  <c r="BC172" i="1"/>
  <c r="BD172" i="1" s="1"/>
  <c r="AZ172" i="1"/>
  <c r="AW172" i="1"/>
  <c r="AR172" i="1"/>
  <c r="BK172" i="1" s="1"/>
  <c r="BJ172" i="1" s="1"/>
  <c r="AH172" i="1"/>
  <c r="AN172" i="1" s="1"/>
  <c r="BA172" i="1" s="1"/>
  <c r="BI171" i="1"/>
  <c r="BH171" i="1"/>
  <c r="BG171" i="1"/>
  <c r="BD171" i="1"/>
  <c r="BC171" i="1"/>
  <c r="BA171" i="1"/>
  <c r="AZ171" i="1"/>
  <c r="AW171" i="1"/>
  <c r="AR171" i="1"/>
  <c r="BK171" i="1" s="1"/>
  <c r="BJ171" i="1" s="1"/>
  <c r="AH171" i="1"/>
  <c r="AN171" i="1" s="1"/>
  <c r="BH170" i="1"/>
  <c r="BG170" i="1"/>
  <c r="BD170" i="1"/>
  <c r="BC170" i="1"/>
  <c r="AZ170" i="1"/>
  <c r="AW170" i="1"/>
  <c r="AR170" i="1"/>
  <c r="BK170" i="1" s="1"/>
  <c r="BJ170" i="1" s="1"/>
  <c r="AN170" i="1"/>
  <c r="BA170" i="1" s="1"/>
  <c r="AH170" i="1"/>
  <c r="BH169" i="1"/>
  <c r="BG169" i="1"/>
  <c r="BI169" i="1" s="1"/>
  <c r="BC169" i="1"/>
  <c r="BD169" i="1" s="1"/>
  <c r="AZ169" i="1"/>
  <c r="AW169" i="1"/>
  <c r="BE169" i="1" s="1"/>
  <c r="AR169" i="1"/>
  <c r="BK169" i="1" s="1"/>
  <c r="BJ169" i="1" s="1"/>
  <c r="AH169" i="1"/>
  <c r="AN169" i="1" s="1"/>
  <c r="BA169" i="1" s="1"/>
  <c r="BI168" i="1"/>
  <c r="BH168" i="1"/>
  <c r="BG168" i="1"/>
  <c r="BC168" i="1"/>
  <c r="BD168" i="1" s="1"/>
  <c r="AZ168" i="1"/>
  <c r="AW168" i="1"/>
  <c r="AR168" i="1"/>
  <c r="BK168" i="1" s="1"/>
  <c r="BJ168" i="1" s="1"/>
  <c r="AN168" i="1"/>
  <c r="BA168" i="1" s="1"/>
  <c r="AH168" i="1"/>
  <c r="BH167" i="1"/>
  <c r="BI167" i="1" s="1"/>
  <c r="BG167" i="1"/>
  <c r="BD167" i="1"/>
  <c r="BC167" i="1"/>
  <c r="AZ167" i="1"/>
  <c r="AW167" i="1"/>
  <c r="AR167" i="1"/>
  <c r="BK167" i="1" s="1"/>
  <c r="BJ167" i="1" s="1"/>
  <c r="AN167" i="1"/>
  <c r="BA167" i="1" s="1"/>
  <c r="AH167" i="1"/>
  <c r="BH166" i="1"/>
  <c r="BG166" i="1"/>
  <c r="BI166" i="1" s="1"/>
  <c r="BC166" i="1"/>
  <c r="BD166" i="1" s="1"/>
  <c r="AZ166" i="1"/>
  <c r="AW166" i="1"/>
  <c r="AR166" i="1"/>
  <c r="BK166" i="1" s="1"/>
  <c r="BJ166" i="1" s="1"/>
  <c r="AH166" i="1"/>
  <c r="AN166" i="1" s="1"/>
  <c r="BA166" i="1" s="1"/>
  <c r="BI165" i="1"/>
  <c r="BH165" i="1"/>
  <c r="BG165" i="1"/>
  <c r="BD165" i="1"/>
  <c r="BC165" i="1"/>
  <c r="AZ165" i="1"/>
  <c r="AW165" i="1"/>
  <c r="AR165" i="1"/>
  <c r="BK165" i="1" s="1"/>
  <c r="BJ165" i="1" s="1"/>
  <c r="AH165" i="1"/>
  <c r="AN165" i="1" s="1"/>
  <c r="BA165" i="1" s="1"/>
  <c r="BH164" i="1"/>
  <c r="BG164" i="1"/>
  <c r="BI164" i="1" s="1"/>
  <c r="BD164" i="1"/>
  <c r="BC164" i="1"/>
  <c r="AZ164" i="1"/>
  <c r="AW164" i="1"/>
  <c r="AR164" i="1"/>
  <c r="BK164" i="1" s="1"/>
  <c r="BJ164" i="1" s="1"/>
  <c r="AN164" i="1"/>
  <c r="BA164" i="1" s="1"/>
  <c r="AH164" i="1"/>
  <c r="BI163" i="1"/>
  <c r="BH163" i="1"/>
  <c r="BG163" i="1"/>
  <c r="BC163" i="1"/>
  <c r="BD163" i="1" s="1"/>
  <c r="AZ163" i="1"/>
  <c r="AW163" i="1"/>
  <c r="BE163" i="1" s="1"/>
  <c r="AR163" i="1"/>
  <c r="BK163" i="1" s="1"/>
  <c r="BJ163" i="1" s="1"/>
  <c r="AH163" i="1"/>
  <c r="AN163" i="1" s="1"/>
  <c r="BA163" i="1" s="1"/>
  <c r="BI162" i="1"/>
  <c r="BH162" i="1"/>
  <c r="BG162" i="1"/>
  <c r="BC162" i="1"/>
  <c r="BD162" i="1" s="1"/>
  <c r="AZ162" i="1"/>
  <c r="AW162" i="1"/>
  <c r="BE162" i="1" s="1"/>
  <c r="AR162" i="1"/>
  <c r="BK162" i="1" s="1"/>
  <c r="BJ162" i="1" s="1"/>
  <c r="AN162" i="1"/>
  <c r="BA162" i="1" s="1"/>
  <c r="AH162" i="1"/>
  <c r="BH161" i="1"/>
  <c r="BG161" i="1"/>
  <c r="BI161" i="1" s="1"/>
  <c r="BD161" i="1"/>
  <c r="BC161" i="1"/>
  <c r="AZ161" i="1"/>
  <c r="AW161" i="1"/>
  <c r="AR161" i="1"/>
  <c r="BK161" i="1" s="1"/>
  <c r="BJ161" i="1" s="1"/>
  <c r="AN161" i="1"/>
  <c r="BA161" i="1" s="1"/>
  <c r="AH161" i="1"/>
  <c r="BH160" i="1"/>
  <c r="BG160" i="1"/>
  <c r="BI160" i="1" s="1"/>
  <c r="BC160" i="1"/>
  <c r="BD160" i="1" s="1"/>
  <c r="BA160" i="1"/>
  <c r="AZ160" i="1"/>
  <c r="AW160" i="1"/>
  <c r="BE160" i="1" s="1"/>
  <c r="AR160" i="1"/>
  <c r="BK160" i="1" s="1"/>
  <c r="BJ160" i="1" s="1"/>
  <c r="AH160" i="1"/>
  <c r="AN160" i="1" s="1"/>
  <c r="BI159" i="1"/>
  <c r="BH159" i="1"/>
  <c r="BG159" i="1"/>
  <c r="BD159" i="1"/>
  <c r="BC159" i="1"/>
  <c r="AZ159" i="1"/>
  <c r="AW159" i="1"/>
  <c r="BE159" i="1" s="1"/>
  <c r="AR159" i="1"/>
  <c r="BK159" i="1" s="1"/>
  <c r="BJ159" i="1" s="1"/>
  <c r="AH159" i="1"/>
  <c r="AN159" i="1" s="1"/>
  <c r="BA159" i="1" s="1"/>
  <c r="BH158" i="1"/>
  <c r="BG158" i="1"/>
  <c r="BD158" i="1"/>
  <c r="BC158" i="1"/>
  <c r="AZ158" i="1"/>
  <c r="AW158" i="1"/>
  <c r="AR158" i="1"/>
  <c r="BK158" i="1" s="1"/>
  <c r="BJ158" i="1" s="1"/>
  <c r="AN158" i="1"/>
  <c r="BA158" i="1" s="1"/>
  <c r="AH158" i="1"/>
  <c r="BI157" i="1"/>
  <c r="BH157" i="1"/>
  <c r="BG157" i="1"/>
  <c r="BC157" i="1"/>
  <c r="BD157" i="1" s="1"/>
  <c r="AZ157" i="1"/>
  <c r="AW157" i="1"/>
  <c r="AR157" i="1"/>
  <c r="BK157" i="1" s="1"/>
  <c r="BJ157" i="1" s="1"/>
  <c r="AH157" i="1"/>
  <c r="AN157" i="1" s="1"/>
  <c r="BA157" i="1" s="1"/>
  <c r="BI156" i="1"/>
  <c r="BH156" i="1"/>
  <c r="BG156" i="1"/>
  <c r="BC156" i="1"/>
  <c r="BD156" i="1" s="1"/>
  <c r="AZ156" i="1"/>
  <c r="AW156" i="1"/>
  <c r="BE156" i="1" s="1"/>
  <c r="AR156" i="1"/>
  <c r="BK156" i="1" s="1"/>
  <c r="BJ156" i="1" s="1"/>
  <c r="AN156" i="1"/>
  <c r="BA156" i="1" s="1"/>
  <c r="AH156" i="1"/>
  <c r="BH155" i="1"/>
  <c r="BG155" i="1"/>
  <c r="BD155" i="1"/>
  <c r="BC155" i="1"/>
  <c r="AZ155" i="1"/>
  <c r="AW155" i="1"/>
  <c r="AR155" i="1"/>
  <c r="BK155" i="1" s="1"/>
  <c r="BJ155" i="1" s="1"/>
  <c r="AN155" i="1"/>
  <c r="BA155" i="1" s="1"/>
  <c r="AH155" i="1"/>
  <c r="BH154" i="1"/>
  <c r="BG154" i="1"/>
  <c r="BI154" i="1" s="1"/>
  <c r="BC154" i="1"/>
  <c r="BD154" i="1" s="1"/>
  <c r="AZ154" i="1"/>
  <c r="AW154" i="1"/>
  <c r="AR154" i="1"/>
  <c r="BK154" i="1" s="1"/>
  <c r="BJ154" i="1" s="1"/>
  <c r="AH154" i="1"/>
  <c r="AN154" i="1" s="1"/>
  <c r="BA154" i="1" s="1"/>
  <c r="BI153" i="1"/>
  <c r="BH153" i="1"/>
  <c r="BG153" i="1"/>
  <c r="BD153" i="1"/>
  <c r="BC153" i="1"/>
  <c r="BA153" i="1"/>
  <c r="AZ153" i="1"/>
  <c r="AW153" i="1"/>
  <c r="AR153" i="1"/>
  <c r="BK153" i="1" s="1"/>
  <c r="BJ153" i="1" s="1"/>
  <c r="AH153" i="1"/>
  <c r="AN153" i="1" s="1"/>
  <c r="BH152" i="1"/>
  <c r="BG152" i="1"/>
  <c r="BI152" i="1" s="1"/>
  <c r="BD152" i="1"/>
  <c r="BC152" i="1"/>
  <c r="AZ152" i="1"/>
  <c r="AW152" i="1"/>
  <c r="AR152" i="1"/>
  <c r="BK152" i="1" s="1"/>
  <c r="BJ152" i="1" s="1"/>
  <c r="AN152" i="1"/>
  <c r="BA152" i="1" s="1"/>
  <c r="AH152" i="1"/>
  <c r="BH151" i="1"/>
  <c r="BG151" i="1"/>
  <c r="BI151" i="1" s="1"/>
  <c r="BC151" i="1"/>
  <c r="BD151" i="1" s="1"/>
  <c r="AZ151" i="1"/>
  <c r="AW151" i="1"/>
  <c r="AR151" i="1"/>
  <c r="BK151" i="1" s="1"/>
  <c r="BJ151" i="1" s="1"/>
  <c r="AH151" i="1"/>
  <c r="AN151" i="1" s="1"/>
  <c r="BA151" i="1" s="1"/>
  <c r="BI150" i="1"/>
  <c r="BH150" i="1"/>
  <c r="BG150" i="1"/>
  <c r="BC150" i="1"/>
  <c r="BD150" i="1" s="1"/>
  <c r="AZ150" i="1"/>
  <c r="AW150" i="1"/>
  <c r="AR150" i="1"/>
  <c r="BK150" i="1" s="1"/>
  <c r="BJ150" i="1" s="1"/>
  <c r="AN150" i="1"/>
  <c r="BA150" i="1" s="1"/>
  <c r="AH150" i="1"/>
  <c r="BH149" i="1"/>
  <c r="BG149" i="1"/>
  <c r="BI149" i="1" s="1"/>
  <c r="BD149" i="1"/>
  <c r="BC149" i="1"/>
  <c r="AZ149" i="1"/>
  <c r="AW149" i="1"/>
  <c r="AR149" i="1"/>
  <c r="BK149" i="1" s="1"/>
  <c r="BJ149" i="1" s="1"/>
  <c r="AN149" i="1"/>
  <c r="BA149" i="1" s="1"/>
  <c r="AH149" i="1"/>
  <c r="BH148" i="1"/>
  <c r="BG148" i="1"/>
  <c r="BI148" i="1" s="1"/>
  <c r="BC148" i="1"/>
  <c r="BD148" i="1" s="1"/>
  <c r="BA148" i="1"/>
  <c r="AZ148" i="1"/>
  <c r="AW148" i="1"/>
  <c r="AR148" i="1"/>
  <c r="BK148" i="1" s="1"/>
  <c r="BJ148" i="1" s="1"/>
  <c r="AH148" i="1"/>
  <c r="AN148" i="1" s="1"/>
  <c r="BI147" i="1"/>
  <c r="BH147" i="1"/>
  <c r="BG147" i="1"/>
  <c r="BD147" i="1"/>
  <c r="BC147" i="1"/>
  <c r="AZ147" i="1"/>
  <c r="AW147" i="1"/>
  <c r="AR147" i="1"/>
  <c r="BK147" i="1" s="1"/>
  <c r="BJ147" i="1" s="1"/>
  <c r="AH147" i="1"/>
  <c r="AN147" i="1" s="1"/>
  <c r="BA147" i="1" s="1"/>
  <c r="BH146" i="1"/>
  <c r="BG146" i="1"/>
  <c r="BI146" i="1" s="1"/>
  <c r="BD146" i="1"/>
  <c r="BC146" i="1"/>
  <c r="AZ146" i="1"/>
  <c r="AW146" i="1"/>
  <c r="AR146" i="1"/>
  <c r="BK146" i="1" s="1"/>
  <c r="BJ146" i="1" s="1"/>
  <c r="AN146" i="1"/>
  <c r="BA146" i="1" s="1"/>
  <c r="AH146" i="1"/>
  <c r="BH145" i="1"/>
  <c r="BG145" i="1"/>
  <c r="BI145" i="1" s="1"/>
  <c r="BC145" i="1"/>
  <c r="BD145" i="1" s="1"/>
  <c r="AZ145" i="1"/>
  <c r="AW145" i="1"/>
  <c r="AR145" i="1"/>
  <c r="BK145" i="1" s="1"/>
  <c r="BJ145" i="1" s="1"/>
  <c r="AH145" i="1"/>
  <c r="AN145" i="1" s="1"/>
  <c r="BA145" i="1" s="1"/>
  <c r="BI144" i="1"/>
  <c r="BH144" i="1"/>
  <c r="BG144" i="1"/>
  <c r="BC144" i="1"/>
  <c r="BD144" i="1" s="1"/>
  <c r="BA144" i="1"/>
  <c r="AZ144" i="1"/>
  <c r="AW144" i="1"/>
  <c r="BE144" i="1" s="1"/>
  <c r="AR144" i="1"/>
  <c r="BK144" i="1" s="1"/>
  <c r="BJ144" i="1" s="1"/>
  <c r="AN144" i="1"/>
  <c r="AH144" i="1"/>
  <c r="BH143" i="1"/>
  <c r="BI143" i="1" s="1"/>
  <c r="BG143" i="1"/>
  <c r="BD143" i="1"/>
  <c r="BC143" i="1"/>
  <c r="AZ143" i="1"/>
  <c r="AW143" i="1"/>
  <c r="BE143" i="1" s="1"/>
  <c r="AR143" i="1"/>
  <c r="BK143" i="1" s="1"/>
  <c r="BJ143" i="1" s="1"/>
  <c r="AN143" i="1"/>
  <c r="BA143" i="1" s="1"/>
  <c r="AH143" i="1"/>
  <c r="BH142" i="1"/>
  <c r="BG142" i="1"/>
  <c r="BI142" i="1" s="1"/>
  <c r="BC142" i="1"/>
  <c r="BD142" i="1" s="1"/>
  <c r="AZ142" i="1"/>
  <c r="AW142" i="1"/>
  <c r="AR142" i="1"/>
  <c r="BK142" i="1" s="1"/>
  <c r="BJ142" i="1" s="1"/>
  <c r="AH142" i="1"/>
  <c r="AN142" i="1" s="1"/>
  <c r="BA142" i="1" s="1"/>
  <c r="BI141" i="1"/>
  <c r="BH141" i="1"/>
  <c r="BG141" i="1"/>
  <c r="BD141" i="1"/>
  <c r="BC141" i="1"/>
  <c r="BA141" i="1"/>
  <c r="AZ141" i="1"/>
  <c r="AW141" i="1"/>
  <c r="AR141" i="1"/>
  <c r="BK141" i="1" s="1"/>
  <c r="BJ141" i="1" s="1"/>
  <c r="AH141" i="1"/>
  <c r="AN141" i="1" s="1"/>
  <c r="BH140" i="1"/>
  <c r="BG140" i="1"/>
  <c r="BD140" i="1"/>
  <c r="BC140" i="1"/>
  <c r="AZ140" i="1"/>
  <c r="AW140" i="1"/>
  <c r="AR140" i="1"/>
  <c r="BK140" i="1" s="1"/>
  <c r="BJ140" i="1" s="1"/>
  <c r="AN140" i="1"/>
  <c r="BA140" i="1" s="1"/>
  <c r="AH140" i="1"/>
  <c r="BH139" i="1"/>
  <c r="BI139" i="1" s="1"/>
  <c r="BG139" i="1"/>
  <c r="BC139" i="1"/>
  <c r="BD139" i="1" s="1"/>
  <c r="AZ139" i="1"/>
  <c r="AW139" i="1"/>
  <c r="BE139" i="1" s="1"/>
  <c r="AR139" i="1"/>
  <c r="BK139" i="1" s="1"/>
  <c r="BJ139" i="1" s="1"/>
  <c r="AH139" i="1"/>
  <c r="AN139" i="1" s="1"/>
  <c r="BA139" i="1" s="1"/>
  <c r="BI138" i="1"/>
  <c r="BH138" i="1"/>
  <c r="BG138" i="1"/>
  <c r="BC138" i="1"/>
  <c r="BD138" i="1" s="1"/>
  <c r="AZ138" i="1"/>
  <c r="AW138" i="1"/>
  <c r="BE138" i="1" s="1"/>
  <c r="AR138" i="1"/>
  <c r="BK138" i="1" s="1"/>
  <c r="BJ138" i="1" s="1"/>
  <c r="AN138" i="1"/>
  <c r="BA138" i="1" s="1"/>
  <c r="AH138" i="1"/>
  <c r="BH137" i="1"/>
  <c r="BG137" i="1"/>
  <c r="BD137" i="1"/>
  <c r="BC137" i="1"/>
  <c r="AZ137" i="1"/>
  <c r="AW137" i="1"/>
  <c r="AR137" i="1"/>
  <c r="BK137" i="1" s="1"/>
  <c r="BJ137" i="1" s="1"/>
  <c r="AN137" i="1"/>
  <c r="BA137" i="1" s="1"/>
  <c r="AH137" i="1"/>
  <c r="BH136" i="1"/>
  <c r="BG136" i="1"/>
  <c r="BI136" i="1" s="1"/>
  <c r="BC136" i="1"/>
  <c r="BD136" i="1" s="1"/>
  <c r="AZ136" i="1"/>
  <c r="AW136" i="1"/>
  <c r="BE136" i="1" s="1"/>
  <c r="AR136" i="1"/>
  <c r="BK136" i="1" s="1"/>
  <c r="BJ136" i="1" s="1"/>
  <c r="AH136" i="1"/>
  <c r="AN136" i="1" s="1"/>
  <c r="BA136" i="1" s="1"/>
  <c r="BI135" i="1"/>
  <c r="BH135" i="1"/>
  <c r="BG135" i="1"/>
  <c r="BD135" i="1"/>
  <c r="BC135" i="1"/>
  <c r="AZ135" i="1"/>
  <c r="AW135" i="1"/>
  <c r="BE135" i="1" s="1"/>
  <c r="AR135" i="1"/>
  <c r="BK135" i="1" s="1"/>
  <c r="BJ135" i="1" s="1"/>
  <c r="AH135" i="1"/>
  <c r="AN135" i="1" s="1"/>
  <c r="BA135" i="1" s="1"/>
  <c r="BH134" i="1"/>
  <c r="BG134" i="1"/>
  <c r="BI134" i="1" s="1"/>
  <c r="BD134" i="1"/>
  <c r="BC134" i="1"/>
  <c r="AZ134" i="1"/>
  <c r="AW134" i="1"/>
  <c r="AR134" i="1"/>
  <c r="BK134" i="1" s="1"/>
  <c r="BJ134" i="1" s="1"/>
  <c r="AN134" i="1"/>
  <c r="BA134" i="1" s="1"/>
  <c r="AH134" i="1"/>
  <c r="BH133" i="1"/>
  <c r="BG133" i="1"/>
  <c r="BI133" i="1" s="1"/>
  <c r="BC133" i="1"/>
  <c r="BD133" i="1" s="1"/>
  <c r="AZ133" i="1"/>
  <c r="AW133" i="1"/>
  <c r="AR133" i="1"/>
  <c r="BK133" i="1" s="1"/>
  <c r="BJ133" i="1" s="1"/>
  <c r="AH133" i="1"/>
  <c r="AN133" i="1" s="1"/>
  <c r="BA133" i="1" s="1"/>
  <c r="BI132" i="1"/>
  <c r="BH132" i="1"/>
  <c r="BG132" i="1"/>
  <c r="BC132" i="1"/>
  <c r="BD132" i="1" s="1"/>
  <c r="AZ132" i="1"/>
  <c r="AW132" i="1"/>
  <c r="AR132" i="1"/>
  <c r="BK132" i="1" s="1"/>
  <c r="BJ132" i="1" s="1"/>
  <c r="AN132" i="1"/>
  <c r="BA132" i="1" s="1"/>
  <c r="AH132" i="1"/>
  <c r="BH131" i="1"/>
  <c r="BG131" i="1"/>
  <c r="BD131" i="1"/>
  <c r="BC131" i="1"/>
  <c r="AZ131" i="1"/>
  <c r="AW131" i="1"/>
  <c r="AR131" i="1"/>
  <c r="BK131" i="1" s="1"/>
  <c r="BJ131" i="1" s="1"/>
  <c r="AN131" i="1"/>
  <c r="BA131" i="1" s="1"/>
  <c r="AH131" i="1"/>
  <c r="BH130" i="1"/>
  <c r="BG130" i="1"/>
  <c r="BI130" i="1" s="1"/>
  <c r="BC130" i="1"/>
  <c r="BD130" i="1" s="1"/>
  <c r="BA130" i="1"/>
  <c r="AZ130" i="1"/>
  <c r="AW130" i="1"/>
  <c r="AR130" i="1"/>
  <c r="BK130" i="1" s="1"/>
  <c r="BJ130" i="1" s="1"/>
  <c r="AH130" i="1"/>
  <c r="AN130" i="1" s="1"/>
  <c r="BI129" i="1"/>
  <c r="BH129" i="1"/>
  <c r="BG129" i="1"/>
  <c r="BC129" i="1"/>
  <c r="BD129" i="1" s="1"/>
  <c r="AZ129" i="1"/>
  <c r="AW129" i="1"/>
  <c r="AR129" i="1"/>
  <c r="BK129" i="1" s="1"/>
  <c r="BJ129" i="1" s="1"/>
  <c r="AH129" i="1"/>
  <c r="AN129" i="1" s="1"/>
  <c r="BA129" i="1" s="1"/>
  <c r="BH128" i="1"/>
  <c r="BG128" i="1"/>
  <c r="BD128" i="1"/>
  <c r="BC128" i="1"/>
  <c r="AZ128" i="1"/>
  <c r="AW128" i="1"/>
  <c r="AR128" i="1"/>
  <c r="BK128" i="1" s="1"/>
  <c r="BJ128" i="1" s="1"/>
  <c r="AN128" i="1"/>
  <c r="BA128" i="1" s="1"/>
  <c r="AH128" i="1"/>
  <c r="BH127" i="1"/>
  <c r="BG127" i="1"/>
  <c r="BI127" i="1" s="1"/>
  <c r="BC127" i="1"/>
  <c r="BD127" i="1" s="1"/>
  <c r="AZ127" i="1"/>
  <c r="AW127" i="1"/>
  <c r="AR127" i="1"/>
  <c r="BK127" i="1" s="1"/>
  <c r="BJ127" i="1" s="1"/>
  <c r="AH127" i="1"/>
  <c r="AN127" i="1" s="1"/>
  <c r="BA127" i="1" s="1"/>
  <c r="BI126" i="1"/>
  <c r="BH126" i="1"/>
  <c r="BG126" i="1"/>
  <c r="BC126" i="1"/>
  <c r="BD126" i="1" s="1"/>
  <c r="AZ126" i="1"/>
  <c r="AW126" i="1"/>
  <c r="BE126" i="1" s="1"/>
  <c r="AR126" i="1"/>
  <c r="BK126" i="1" s="1"/>
  <c r="BJ126" i="1" s="1"/>
  <c r="AN126" i="1"/>
  <c r="BA126" i="1" s="1"/>
  <c r="AH126" i="1"/>
  <c r="BH125" i="1"/>
  <c r="BG125" i="1"/>
  <c r="BI125" i="1" s="1"/>
  <c r="BD125" i="1"/>
  <c r="BC125" i="1"/>
  <c r="AZ125" i="1"/>
  <c r="AW125" i="1"/>
  <c r="BE125" i="1" s="1"/>
  <c r="AR125" i="1"/>
  <c r="BK125" i="1" s="1"/>
  <c r="BJ125" i="1" s="1"/>
  <c r="AN125" i="1"/>
  <c r="BA125" i="1" s="1"/>
  <c r="AH125" i="1"/>
  <c r="BH124" i="1"/>
  <c r="BG124" i="1"/>
  <c r="BI124" i="1" s="1"/>
  <c r="BC124" i="1"/>
  <c r="BD124" i="1" s="1"/>
  <c r="AZ124" i="1"/>
  <c r="AW124" i="1"/>
  <c r="AR124" i="1"/>
  <c r="BK124" i="1" s="1"/>
  <c r="BJ124" i="1" s="1"/>
  <c r="AH124" i="1"/>
  <c r="AN124" i="1" s="1"/>
  <c r="BA124" i="1" s="1"/>
  <c r="BI123" i="1"/>
  <c r="BH123" i="1"/>
  <c r="BG123" i="1"/>
  <c r="BC123" i="1"/>
  <c r="BD123" i="1" s="1"/>
  <c r="AZ123" i="1"/>
  <c r="AW123" i="1"/>
  <c r="AR123" i="1"/>
  <c r="BK123" i="1" s="1"/>
  <c r="BJ123" i="1" s="1"/>
  <c r="AH123" i="1"/>
  <c r="AN123" i="1" s="1"/>
  <c r="BA123" i="1" s="1"/>
  <c r="BH122" i="1"/>
  <c r="BG122" i="1"/>
  <c r="BD122" i="1"/>
  <c r="BC122" i="1"/>
  <c r="AZ122" i="1"/>
  <c r="AW122" i="1"/>
  <c r="AR122" i="1"/>
  <c r="BK122" i="1" s="1"/>
  <c r="BJ122" i="1" s="1"/>
  <c r="AN122" i="1"/>
  <c r="BA122" i="1" s="1"/>
  <c r="AH122" i="1"/>
  <c r="BH121" i="1"/>
  <c r="BG121" i="1"/>
  <c r="BC121" i="1"/>
  <c r="BD121" i="1" s="1"/>
  <c r="AZ121" i="1"/>
  <c r="AW121" i="1"/>
  <c r="AR121" i="1"/>
  <c r="BK121" i="1" s="1"/>
  <c r="BJ121" i="1" s="1"/>
  <c r="AH121" i="1"/>
  <c r="AN121" i="1" s="1"/>
  <c r="BA121" i="1" s="1"/>
  <c r="BI120" i="1"/>
  <c r="BH120" i="1"/>
  <c r="BG120" i="1"/>
  <c r="BD120" i="1"/>
  <c r="BC120" i="1"/>
  <c r="AZ120" i="1"/>
  <c r="AW120" i="1"/>
  <c r="BE120" i="1" s="1"/>
  <c r="AR120" i="1"/>
  <c r="BK120" i="1" s="1"/>
  <c r="BJ120" i="1" s="1"/>
  <c r="AN120" i="1"/>
  <c r="BA120" i="1" s="1"/>
  <c r="AH120" i="1"/>
  <c r="BH119" i="1"/>
  <c r="BG119" i="1"/>
  <c r="BI119" i="1" s="1"/>
  <c r="BC119" i="1"/>
  <c r="BD119" i="1" s="1"/>
  <c r="AZ119" i="1"/>
  <c r="AW119" i="1"/>
  <c r="AR119" i="1"/>
  <c r="BK119" i="1" s="1"/>
  <c r="BJ119" i="1" s="1"/>
  <c r="AH119" i="1"/>
  <c r="AN119" i="1" s="1"/>
  <c r="BA119" i="1" s="1"/>
  <c r="BI118" i="1"/>
  <c r="BH118" i="1"/>
  <c r="BG118" i="1"/>
  <c r="BD118" i="1"/>
  <c r="BC118" i="1"/>
  <c r="BA118" i="1"/>
  <c r="AZ118" i="1"/>
  <c r="AW118" i="1"/>
  <c r="AR118" i="1"/>
  <c r="BK118" i="1" s="1"/>
  <c r="BJ118" i="1" s="1"/>
  <c r="AH118" i="1"/>
  <c r="AN118" i="1" s="1"/>
  <c r="BH117" i="1"/>
  <c r="BG117" i="1"/>
  <c r="BI117" i="1" s="1"/>
  <c r="BD117" i="1"/>
  <c r="BC117" i="1"/>
  <c r="AZ117" i="1"/>
  <c r="AW117" i="1"/>
  <c r="AR117" i="1"/>
  <c r="BK117" i="1" s="1"/>
  <c r="BJ117" i="1" s="1"/>
  <c r="AN117" i="1"/>
  <c r="BA117" i="1" s="1"/>
  <c r="AH117" i="1"/>
  <c r="BH116" i="1"/>
  <c r="BG116" i="1"/>
  <c r="BI116" i="1" s="1"/>
  <c r="BC116" i="1"/>
  <c r="BD116" i="1" s="1"/>
  <c r="AZ116" i="1"/>
  <c r="AW116" i="1"/>
  <c r="AR116" i="1"/>
  <c r="BK116" i="1" s="1"/>
  <c r="BJ116" i="1" s="1"/>
  <c r="AH116" i="1"/>
  <c r="AN116" i="1" s="1"/>
  <c r="BA116" i="1" s="1"/>
  <c r="BI115" i="1"/>
  <c r="BH115" i="1"/>
  <c r="BG115" i="1"/>
  <c r="BC115" i="1"/>
  <c r="BD115" i="1" s="1"/>
  <c r="BA115" i="1"/>
  <c r="AZ115" i="1"/>
  <c r="AW115" i="1"/>
  <c r="AR115" i="1"/>
  <c r="BK115" i="1" s="1"/>
  <c r="BJ115" i="1" s="1"/>
  <c r="AN115" i="1"/>
  <c r="AH115" i="1"/>
  <c r="BH114" i="1"/>
  <c r="BI114" i="1" s="1"/>
  <c r="BG114" i="1"/>
  <c r="BD114" i="1"/>
  <c r="BC114" i="1"/>
  <c r="AZ114" i="1"/>
  <c r="AW114" i="1"/>
  <c r="AR114" i="1"/>
  <c r="BK114" i="1" s="1"/>
  <c r="BJ114" i="1" s="1"/>
  <c r="AN114" i="1"/>
  <c r="BA114" i="1" s="1"/>
  <c r="AH114" i="1"/>
  <c r="BH113" i="1"/>
  <c r="BG113" i="1"/>
  <c r="BI113" i="1" s="1"/>
  <c r="BC113" i="1"/>
  <c r="BD113" i="1" s="1"/>
  <c r="AZ113" i="1"/>
  <c r="AW113" i="1"/>
  <c r="BE113" i="1" s="1"/>
  <c r="AR113" i="1"/>
  <c r="BK113" i="1" s="1"/>
  <c r="BJ113" i="1" s="1"/>
  <c r="AH113" i="1"/>
  <c r="AN113" i="1" s="1"/>
  <c r="BA113" i="1" s="1"/>
  <c r="BI112" i="1"/>
  <c r="BH112" i="1"/>
  <c r="BG112" i="1"/>
  <c r="BD112" i="1"/>
  <c r="BC112" i="1"/>
  <c r="BA112" i="1"/>
  <c r="AZ112" i="1"/>
  <c r="AW112" i="1"/>
  <c r="AR112" i="1"/>
  <c r="BK112" i="1" s="1"/>
  <c r="BJ112" i="1" s="1"/>
  <c r="AH112" i="1"/>
  <c r="AN112" i="1" s="1"/>
  <c r="BH111" i="1"/>
  <c r="BG111" i="1"/>
  <c r="BI111" i="1" s="1"/>
  <c r="BD111" i="1"/>
  <c r="BC111" i="1"/>
  <c r="AZ111" i="1"/>
  <c r="AW111" i="1"/>
  <c r="AR111" i="1"/>
  <c r="BK111" i="1" s="1"/>
  <c r="BJ111" i="1" s="1"/>
  <c r="AN111" i="1"/>
  <c r="BA111" i="1" s="1"/>
  <c r="AH111" i="1"/>
  <c r="BH110" i="1"/>
  <c r="BG110" i="1"/>
  <c r="BI110" i="1" s="1"/>
  <c r="BC110" i="1"/>
  <c r="BD110" i="1" s="1"/>
  <c r="AZ110" i="1"/>
  <c r="AW110" i="1"/>
  <c r="AR110" i="1"/>
  <c r="BK110" i="1" s="1"/>
  <c r="BJ110" i="1" s="1"/>
  <c r="AH110" i="1"/>
  <c r="AN110" i="1" s="1"/>
  <c r="BA110" i="1" s="1"/>
  <c r="BI109" i="1"/>
  <c r="BH109" i="1"/>
  <c r="BG109" i="1"/>
  <c r="BC109" i="1"/>
  <c r="BD109" i="1" s="1"/>
  <c r="AZ109" i="1"/>
  <c r="AW109" i="1"/>
  <c r="BE109" i="1" s="1"/>
  <c r="AR109" i="1"/>
  <c r="BK109" i="1" s="1"/>
  <c r="BJ109" i="1" s="1"/>
  <c r="AN109" i="1"/>
  <c r="BA109" i="1" s="1"/>
  <c r="AH109" i="1"/>
  <c r="BH108" i="1"/>
  <c r="BI108" i="1" s="1"/>
  <c r="BG108" i="1"/>
  <c r="BD108" i="1"/>
  <c r="BC108" i="1"/>
  <c r="AZ108" i="1"/>
  <c r="AW108" i="1"/>
  <c r="BE108" i="1" s="1"/>
  <c r="AR108" i="1"/>
  <c r="BK108" i="1" s="1"/>
  <c r="BJ108" i="1" s="1"/>
  <c r="AN108" i="1"/>
  <c r="BA108" i="1" s="1"/>
  <c r="AH108" i="1"/>
  <c r="BH107" i="1"/>
  <c r="BG107" i="1"/>
  <c r="BC107" i="1"/>
  <c r="BD107" i="1" s="1"/>
  <c r="BA107" i="1"/>
  <c r="AZ107" i="1"/>
  <c r="AW107" i="1"/>
  <c r="AR107" i="1"/>
  <c r="BK107" i="1" s="1"/>
  <c r="BJ107" i="1" s="1"/>
  <c r="AH107" i="1"/>
  <c r="AN107" i="1" s="1"/>
  <c r="BI106" i="1"/>
  <c r="BH106" i="1"/>
  <c r="BG106" i="1"/>
  <c r="BD106" i="1"/>
  <c r="BC106" i="1"/>
  <c r="AZ106" i="1"/>
  <c r="AW106" i="1"/>
  <c r="AR106" i="1"/>
  <c r="BK106" i="1" s="1"/>
  <c r="BJ106" i="1" s="1"/>
  <c r="AH106" i="1"/>
  <c r="AN106" i="1" s="1"/>
  <c r="BA106" i="1" s="1"/>
  <c r="BH105" i="1"/>
  <c r="BG105" i="1"/>
  <c r="BI105" i="1" s="1"/>
  <c r="BD105" i="1"/>
  <c r="BC105" i="1"/>
  <c r="AZ105" i="1"/>
  <c r="AW105" i="1"/>
  <c r="AR105" i="1"/>
  <c r="BK105" i="1" s="1"/>
  <c r="BJ105" i="1" s="1"/>
  <c r="AN105" i="1"/>
  <c r="BA105" i="1" s="1"/>
  <c r="AH105" i="1"/>
  <c r="BH104" i="1"/>
  <c r="BG104" i="1"/>
  <c r="BI104" i="1" s="1"/>
  <c r="BC104" i="1"/>
  <c r="BD104" i="1" s="1"/>
  <c r="AZ104" i="1"/>
  <c r="AW104" i="1"/>
  <c r="BE104" i="1" s="1"/>
  <c r="AR104" i="1"/>
  <c r="BK104" i="1" s="1"/>
  <c r="BJ104" i="1" s="1"/>
  <c r="AH104" i="1"/>
  <c r="AN104" i="1" s="1"/>
  <c r="BA104" i="1" s="1"/>
  <c r="BI103" i="1"/>
  <c r="BH103" i="1"/>
  <c r="BG103" i="1"/>
  <c r="BC103" i="1"/>
  <c r="BD103" i="1" s="1"/>
  <c r="AZ103" i="1"/>
  <c r="AW103" i="1"/>
  <c r="AR103" i="1"/>
  <c r="BK103" i="1" s="1"/>
  <c r="BJ103" i="1" s="1"/>
  <c r="AN103" i="1"/>
  <c r="BA103" i="1" s="1"/>
  <c r="AH103" i="1"/>
  <c r="BH102" i="1"/>
  <c r="BI102" i="1" s="1"/>
  <c r="BG102" i="1"/>
  <c r="BD102" i="1"/>
  <c r="BC102" i="1"/>
  <c r="AZ102" i="1"/>
  <c r="AW102" i="1"/>
  <c r="AR102" i="1"/>
  <c r="BK102" i="1" s="1"/>
  <c r="BJ102" i="1" s="1"/>
  <c r="AN102" i="1"/>
  <c r="BA102" i="1" s="1"/>
  <c r="AH102" i="1"/>
  <c r="BH101" i="1"/>
  <c r="BG101" i="1"/>
  <c r="BI101" i="1" s="1"/>
  <c r="BC101" i="1"/>
  <c r="BD101" i="1" s="1"/>
  <c r="AZ101" i="1"/>
  <c r="AW101" i="1"/>
  <c r="AR101" i="1"/>
  <c r="BK101" i="1" s="1"/>
  <c r="BJ101" i="1" s="1"/>
  <c r="AH101" i="1"/>
  <c r="AN101" i="1" s="1"/>
  <c r="BA101" i="1" s="1"/>
  <c r="BI100" i="1"/>
  <c r="BH100" i="1"/>
  <c r="BG100" i="1"/>
  <c r="BD100" i="1"/>
  <c r="BC100" i="1"/>
  <c r="BA100" i="1"/>
  <c r="AZ100" i="1"/>
  <c r="AW100" i="1"/>
  <c r="AR100" i="1"/>
  <c r="BK100" i="1" s="1"/>
  <c r="BJ100" i="1" s="1"/>
  <c r="AH100" i="1"/>
  <c r="AN100" i="1" s="1"/>
  <c r="BH99" i="1"/>
  <c r="BG99" i="1"/>
  <c r="BI99" i="1" s="1"/>
  <c r="BC99" i="1"/>
  <c r="BD99" i="1" s="1"/>
  <c r="AZ99" i="1"/>
  <c r="AW99" i="1"/>
  <c r="AR99" i="1"/>
  <c r="BK99" i="1" s="1"/>
  <c r="BJ99" i="1" s="1"/>
  <c r="AN99" i="1"/>
  <c r="BA99" i="1" s="1"/>
  <c r="AH99" i="1"/>
  <c r="BI98" i="1"/>
  <c r="BH98" i="1"/>
  <c r="BG98" i="1"/>
  <c r="BC98" i="1"/>
  <c r="BD98" i="1" s="1"/>
  <c r="AZ98" i="1"/>
  <c r="AW98" i="1"/>
  <c r="AR98" i="1"/>
  <c r="BK98" i="1" s="1"/>
  <c r="BJ98" i="1" s="1"/>
  <c r="AH98" i="1"/>
  <c r="AN98" i="1" s="1"/>
  <c r="BA98" i="1" s="1"/>
  <c r="BI97" i="1"/>
  <c r="BH97" i="1"/>
  <c r="BG97" i="1"/>
  <c r="BC97" i="1"/>
  <c r="BD97" i="1" s="1"/>
  <c r="BA97" i="1"/>
  <c r="AZ97" i="1"/>
  <c r="AW97" i="1"/>
  <c r="BE97" i="1" s="1"/>
  <c r="AR97" i="1"/>
  <c r="BK97" i="1" s="1"/>
  <c r="BJ97" i="1" s="1"/>
  <c r="AN97" i="1"/>
  <c r="AH97" i="1"/>
  <c r="BH96" i="1"/>
  <c r="BI96" i="1" s="1"/>
  <c r="BG96" i="1"/>
  <c r="BD96" i="1"/>
  <c r="BC96" i="1"/>
  <c r="AZ96" i="1"/>
  <c r="AW96" i="1"/>
  <c r="BE96" i="1" s="1"/>
  <c r="AR96" i="1"/>
  <c r="BK96" i="1" s="1"/>
  <c r="BJ96" i="1" s="1"/>
  <c r="AH96" i="1"/>
  <c r="AN96" i="1" s="1"/>
  <c r="BA96" i="1" s="1"/>
  <c r="BH95" i="1"/>
  <c r="BG95" i="1"/>
  <c r="BC95" i="1"/>
  <c r="BD95" i="1" s="1"/>
  <c r="AZ95" i="1"/>
  <c r="AW95" i="1"/>
  <c r="BE95" i="1" s="1"/>
  <c r="AR95" i="1"/>
  <c r="BK95" i="1" s="1"/>
  <c r="BJ95" i="1" s="1"/>
  <c r="AH95" i="1"/>
  <c r="AN95" i="1" s="1"/>
  <c r="BA95" i="1" s="1"/>
  <c r="BI94" i="1"/>
  <c r="BH94" i="1"/>
  <c r="BG94" i="1"/>
  <c r="BD94" i="1"/>
  <c r="BC94" i="1"/>
  <c r="BA94" i="1"/>
  <c r="AZ94" i="1"/>
  <c r="AW94" i="1"/>
  <c r="AR94" i="1"/>
  <c r="BK94" i="1" s="1"/>
  <c r="BJ94" i="1" s="1"/>
  <c r="AH94" i="1"/>
  <c r="AN94" i="1" s="1"/>
  <c r="BH93" i="1"/>
  <c r="BG93" i="1"/>
  <c r="BI93" i="1" s="1"/>
  <c r="BC93" i="1"/>
  <c r="BD93" i="1" s="1"/>
  <c r="AZ93" i="1"/>
  <c r="AW93" i="1"/>
  <c r="AR93" i="1"/>
  <c r="BK93" i="1" s="1"/>
  <c r="BJ93" i="1" s="1"/>
  <c r="AN93" i="1"/>
  <c r="BA93" i="1" s="1"/>
  <c r="AH93" i="1"/>
  <c r="BI92" i="1"/>
  <c r="BH92" i="1"/>
  <c r="BG92" i="1"/>
  <c r="BC92" i="1"/>
  <c r="BD92" i="1" s="1"/>
  <c r="AZ92" i="1"/>
  <c r="AW92" i="1"/>
  <c r="AR92" i="1"/>
  <c r="BK92" i="1" s="1"/>
  <c r="BJ92" i="1" s="1"/>
  <c r="AH92" i="1"/>
  <c r="AN92" i="1" s="1"/>
  <c r="BA92" i="1" s="1"/>
  <c r="BI91" i="1"/>
  <c r="BH91" i="1"/>
  <c r="BG91" i="1"/>
  <c r="BC91" i="1"/>
  <c r="BD91" i="1" s="1"/>
  <c r="BA91" i="1"/>
  <c r="AZ91" i="1"/>
  <c r="AW91" i="1"/>
  <c r="AR91" i="1"/>
  <c r="BK91" i="1" s="1"/>
  <c r="BJ91" i="1" s="1"/>
  <c r="AN91" i="1"/>
  <c r="AH91" i="1"/>
  <c r="BH90" i="1"/>
  <c r="BI90" i="1" s="1"/>
  <c r="BG90" i="1"/>
  <c r="BD90" i="1"/>
  <c r="BC90" i="1"/>
  <c r="AZ90" i="1"/>
  <c r="AW90" i="1"/>
  <c r="AR90" i="1"/>
  <c r="BK90" i="1" s="1"/>
  <c r="BJ90" i="1" s="1"/>
  <c r="AH90" i="1"/>
  <c r="AN90" i="1" s="1"/>
  <c r="BA90" i="1" s="1"/>
  <c r="BH89" i="1"/>
  <c r="BG89" i="1"/>
  <c r="BI89" i="1" s="1"/>
  <c r="BC89" i="1"/>
  <c r="BD89" i="1" s="1"/>
  <c r="BA89" i="1"/>
  <c r="AZ89" i="1"/>
  <c r="AW89" i="1"/>
  <c r="BE89" i="1" s="1"/>
  <c r="AR89" i="1"/>
  <c r="BK89" i="1" s="1"/>
  <c r="BJ89" i="1" s="1"/>
  <c r="AH89" i="1"/>
  <c r="AN89" i="1" s="1"/>
  <c r="BI88" i="1"/>
  <c r="BH88" i="1"/>
  <c r="BG88" i="1"/>
  <c r="BD88" i="1"/>
  <c r="BC88" i="1"/>
  <c r="BA88" i="1"/>
  <c r="AZ88" i="1"/>
  <c r="AW88" i="1"/>
  <c r="AR88" i="1"/>
  <c r="BK88" i="1" s="1"/>
  <c r="BJ88" i="1" s="1"/>
  <c r="AH88" i="1"/>
  <c r="AN88" i="1" s="1"/>
  <c r="BH87" i="1"/>
  <c r="BG87" i="1"/>
  <c r="BI87" i="1" s="1"/>
  <c r="BC87" i="1"/>
  <c r="BD87" i="1" s="1"/>
  <c r="AZ87" i="1"/>
  <c r="AW87" i="1"/>
  <c r="AR87" i="1"/>
  <c r="BK87" i="1" s="1"/>
  <c r="BJ87" i="1" s="1"/>
  <c r="AN87" i="1"/>
  <c r="BA87" i="1" s="1"/>
  <c r="AH87" i="1"/>
  <c r="BH86" i="1"/>
  <c r="BG86" i="1"/>
  <c r="BI86" i="1" s="1"/>
  <c r="BC86" i="1"/>
  <c r="BD86" i="1" s="1"/>
  <c r="AZ86" i="1"/>
  <c r="AW86" i="1"/>
  <c r="AR86" i="1"/>
  <c r="BK86" i="1" s="1"/>
  <c r="BJ86" i="1" s="1"/>
  <c r="AH86" i="1"/>
  <c r="AN86" i="1" s="1"/>
  <c r="BA86" i="1" s="1"/>
  <c r="BI85" i="1"/>
  <c r="BH85" i="1"/>
  <c r="BG85" i="1"/>
  <c r="BC85" i="1"/>
  <c r="BD85" i="1" s="1"/>
  <c r="AZ85" i="1"/>
  <c r="AW85" i="1"/>
  <c r="AR85" i="1"/>
  <c r="BK85" i="1" s="1"/>
  <c r="BJ85" i="1" s="1"/>
  <c r="AN85" i="1"/>
  <c r="BA85" i="1" s="1"/>
  <c r="AH85" i="1"/>
  <c r="BH84" i="1"/>
  <c r="BI84" i="1" s="1"/>
  <c r="BG84" i="1"/>
  <c r="BD84" i="1"/>
  <c r="BC84" i="1"/>
  <c r="AZ84" i="1"/>
  <c r="AW84" i="1"/>
  <c r="AR84" i="1"/>
  <c r="BK84" i="1" s="1"/>
  <c r="BJ84" i="1" s="1"/>
  <c r="AH84" i="1"/>
  <c r="AN84" i="1" s="1"/>
  <c r="BA84" i="1" s="1"/>
  <c r="BH83" i="1"/>
  <c r="BG83" i="1"/>
  <c r="BI83" i="1" s="1"/>
  <c r="BC83" i="1"/>
  <c r="BD83" i="1" s="1"/>
  <c r="BA83" i="1"/>
  <c r="AZ83" i="1"/>
  <c r="AW83" i="1"/>
  <c r="AR83" i="1"/>
  <c r="BK83" i="1" s="1"/>
  <c r="BJ83" i="1" s="1"/>
  <c r="AH83" i="1"/>
  <c r="AN83" i="1" s="1"/>
  <c r="BI82" i="1"/>
  <c r="BH82" i="1"/>
  <c r="BG82" i="1"/>
  <c r="BD82" i="1"/>
  <c r="BC82" i="1"/>
  <c r="BA82" i="1"/>
  <c r="AZ82" i="1"/>
  <c r="AW82" i="1"/>
  <c r="AR82" i="1"/>
  <c r="BK82" i="1" s="1"/>
  <c r="BJ82" i="1" s="1"/>
  <c r="AH82" i="1"/>
  <c r="AN82" i="1" s="1"/>
  <c r="BH81" i="1"/>
  <c r="BG81" i="1"/>
  <c r="BI81" i="1" s="1"/>
  <c r="BC81" i="1"/>
  <c r="BD81" i="1" s="1"/>
  <c r="AZ81" i="1"/>
  <c r="AW81" i="1"/>
  <c r="AR81" i="1"/>
  <c r="BK81" i="1" s="1"/>
  <c r="BJ81" i="1" s="1"/>
  <c r="AN81" i="1"/>
  <c r="BA81" i="1" s="1"/>
  <c r="AH81" i="1"/>
  <c r="BH80" i="1"/>
  <c r="BG80" i="1"/>
  <c r="BI80" i="1" s="1"/>
  <c r="BC80" i="1"/>
  <c r="BD80" i="1" s="1"/>
  <c r="AZ80" i="1"/>
  <c r="AW80" i="1"/>
  <c r="AR80" i="1"/>
  <c r="BK80" i="1" s="1"/>
  <c r="BJ80" i="1" s="1"/>
  <c r="AH80" i="1"/>
  <c r="AN80" i="1" s="1"/>
  <c r="BA80" i="1" s="1"/>
  <c r="BI79" i="1"/>
  <c r="BH79" i="1"/>
  <c r="BG79" i="1"/>
  <c r="BC79" i="1"/>
  <c r="BD79" i="1" s="1"/>
  <c r="AZ79" i="1"/>
  <c r="AW79" i="1"/>
  <c r="AR79" i="1"/>
  <c r="BK79" i="1" s="1"/>
  <c r="BJ79" i="1" s="1"/>
  <c r="AN79" i="1"/>
  <c r="BA79" i="1" s="1"/>
  <c r="AH79" i="1"/>
  <c r="BH78" i="1"/>
  <c r="BI78" i="1" s="1"/>
  <c r="BG78" i="1"/>
  <c r="BD78" i="1"/>
  <c r="BC78" i="1"/>
  <c r="AZ78" i="1"/>
  <c r="AW78" i="1"/>
  <c r="BE78" i="1" s="1"/>
  <c r="AR78" i="1"/>
  <c r="BK78" i="1" s="1"/>
  <c r="BJ78" i="1" s="1"/>
  <c r="AH78" i="1"/>
  <c r="AN78" i="1" s="1"/>
  <c r="BA78" i="1" s="1"/>
  <c r="BH77" i="1"/>
  <c r="BG77" i="1"/>
  <c r="BI77" i="1" s="1"/>
  <c r="BC77" i="1"/>
  <c r="BD77" i="1" s="1"/>
  <c r="AZ77" i="1"/>
  <c r="AW77" i="1"/>
  <c r="AR77" i="1"/>
  <c r="BK77" i="1" s="1"/>
  <c r="BJ77" i="1" s="1"/>
  <c r="AH77" i="1"/>
  <c r="AN77" i="1" s="1"/>
  <c r="BA77" i="1" s="1"/>
  <c r="BI76" i="1"/>
  <c r="BH76" i="1"/>
  <c r="BG76" i="1"/>
  <c r="BD76" i="1"/>
  <c r="BC76" i="1"/>
  <c r="BA76" i="1"/>
  <c r="AZ76" i="1"/>
  <c r="AW76" i="1"/>
  <c r="AR76" i="1"/>
  <c r="BK76" i="1" s="1"/>
  <c r="BJ76" i="1" s="1"/>
  <c r="AH76" i="1"/>
  <c r="AN76" i="1" s="1"/>
  <c r="BH75" i="1"/>
  <c r="BG75" i="1"/>
  <c r="BI75" i="1" s="1"/>
  <c r="BC75" i="1"/>
  <c r="BD75" i="1" s="1"/>
  <c r="AZ75" i="1"/>
  <c r="AW75" i="1"/>
  <c r="AR75" i="1"/>
  <c r="BK75" i="1" s="1"/>
  <c r="BJ75" i="1" s="1"/>
  <c r="AN75" i="1"/>
  <c r="BA75" i="1" s="1"/>
  <c r="AH75" i="1"/>
  <c r="BI74" i="1"/>
  <c r="BH74" i="1"/>
  <c r="BG74" i="1"/>
  <c r="BC74" i="1"/>
  <c r="BD74" i="1" s="1"/>
  <c r="AZ74" i="1"/>
  <c r="AW74" i="1"/>
  <c r="AR74" i="1"/>
  <c r="BK74" i="1" s="1"/>
  <c r="BJ74" i="1" s="1"/>
  <c r="AH74" i="1"/>
  <c r="AN74" i="1" s="1"/>
  <c r="BA74" i="1" s="1"/>
  <c r="BI73" i="1"/>
  <c r="BH73" i="1"/>
  <c r="BG73" i="1"/>
  <c r="BC73" i="1"/>
  <c r="BD73" i="1" s="1"/>
  <c r="BA73" i="1"/>
  <c r="AZ73" i="1"/>
  <c r="AW73" i="1"/>
  <c r="AR73" i="1"/>
  <c r="BK73" i="1" s="1"/>
  <c r="BJ73" i="1" s="1"/>
  <c r="AN73" i="1"/>
  <c r="AH73" i="1"/>
  <c r="BH72" i="1"/>
  <c r="BI72" i="1" s="1"/>
  <c r="BG72" i="1"/>
  <c r="BD72" i="1"/>
  <c r="BC72" i="1"/>
  <c r="AZ72" i="1"/>
  <c r="AW72" i="1"/>
  <c r="BE72" i="1" s="1"/>
  <c r="AR72" i="1"/>
  <c r="BK72" i="1" s="1"/>
  <c r="BJ72" i="1" s="1"/>
  <c r="AH72" i="1"/>
  <c r="AN72" i="1" s="1"/>
  <c r="BA72" i="1" s="1"/>
  <c r="BH71" i="1"/>
  <c r="BG71" i="1"/>
  <c r="BC71" i="1"/>
  <c r="BD71" i="1" s="1"/>
  <c r="AZ71" i="1"/>
  <c r="AW71" i="1"/>
  <c r="BE71" i="1" s="1"/>
  <c r="AR71" i="1"/>
  <c r="BK71" i="1" s="1"/>
  <c r="BJ71" i="1" s="1"/>
  <c r="AH71" i="1"/>
  <c r="AN71" i="1" s="1"/>
  <c r="BA71" i="1" s="1"/>
  <c r="BI70" i="1"/>
  <c r="BH70" i="1"/>
  <c r="BG70" i="1"/>
  <c r="BD70" i="1"/>
  <c r="BC70" i="1"/>
  <c r="BA70" i="1"/>
  <c r="AZ70" i="1"/>
  <c r="AW70" i="1"/>
  <c r="AR70" i="1"/>
  <c r="BK70" i="1" s="1"/>
  <c r="BJ70" i="1" s="1"/>
  <c r="AH70" i="1"/>
  <c r="AN70" i="1" s="1"/>
  <c r="BH69" i="1"/>
  <c r="BG69" i="1"/>
  <c r="BI69" i="1" s="1"/>
  <c r="BC69" i="1"/>
  <c r="BD69" i="1" s="1"/>
  <c r="AZ69" i="1"/>
  <c r="AW69" i="1"/>
  <c r="AR69" i="1"/>
  <c r="BK69" i="1" s="1"/>
  <c r="BJ69" i="1" s="1"/>
  <c r="AN69" i="1"/>
  <c r="BA69" i="1" s="1"/>
  <c r="AH69" i="1"/>
  <c r="BI68" i="1"/>
  <c r="BH68" i="1"/>
  <c r="BG68" i="1"/>
  <c r="BC68" i="1"/>
  <c r="BD68" i="1" s="1"/>
  <c r="AZ68" i="1"/>
  <c r="AW68" i="1"/>
  <c r="AR68" i="1"/>
  <c r="BK68" i="1" s="1"/>
  <c r="BJ68" i="1" s="1"/>
  <c r="AH68" i="1"/>
  <c r="AN68" i="1" s="1"/>
  <c r="BA68" i="1" s="1"/>
  <c r="BI67" i="1"/>
  <c r="BH67" i="1"/>
  <c r="BG67" i="1"/>
  <c r="BC67" i="1"/>
  <c r="BD67" i="1" s="1"/>
  <c r="BA67" i="1"/>
  <c r="AZ67" i="1"/>
  <c r="AW67" i="1"/>
  <c r="AR67" i="1"/>
  <c r="BK67" i="1" s="1"/>
  <c r="BJ67" i="1" s="1"/>
  <c r="AN67" i="1"/>
  <c r="AH67" i="1"/>
  <c r="BH66" i="1"/>
  <c r="BI66" i="1" s="1"/>
  <c r="BG66" i="1"/>
  <c r="BD66" i="1"/>
  <c r="BC66" i="1"/>
  <c r="AZ66" i="1"/>
  <c r="AW66" i="1"/>
  <c r="AR66" i="1"/>
  <c r="BK66" i="1" s="1"/>
  <c r="BJ66" i="1" s="1"/>
  <c r="AH66" i="1"/>
  <c r="AN66" i="1" s="1"/>
  <c r="BA66" i="1" s="1"/>
  <c r="BH65" i="1"/>
  <c r="BG65" i="1"/>
  <c r="BI65" i="1" s="1"/>
  <c r="BC65" i="1"/>
  <c r="BD65" i="1" s="1"/>
  <c r="BA65" i="1"/>
  <c r="AZ65" i="1"/>
  <c r="AW65" i="1"/>
  <c r="BE65" i="1" s="1"/>
  <c r="AR65" i="1"/>
  <c r="BK65" i="1" s="1"/>
  <c r="BJ65" i="1" s="1"/>
  <c r="AH65" i="1"/>
  <c r="AN65" i="1" s="1"/>
  <c r="BI64" i="1"/>
  <c r="BH64" i="1"/>
  <c r="BG64" i="1"/>
  <c r="BD64" i="1"/>
  <c r="BC64" i="1"/>
  <c r="BA64" i="1"/>
  <c r="AZ64" i="1"/>
  <c r="AW64" i="1"/>
  <c r="AR64" i="1"/>
  <c r="BK64" i="1" s="1"/>
  <c r="BJ64" i="1" s="1"/>
  <c r="AH64" i="1"/>
  <c r="AN64" i="1" s="1"/>
  <c r="BH63" i="1"/>
  <c r="BG63" i="1"/>
  <c r="BI63" i="1" s="1"/>
  <c r="BC63" i="1"/>
  <c r="BD63" i="1" s="1"/>
  <c r="AZ63" i="1"/>
  <c r="AW63" i="1"/>
  <c r="AR63" i="1"/>
  <c r="BK63" i="1" s="1"/>
  <c r="BJ63" i="1" s="1"/>
  <c r="AN63" i="1"/>
  <c r="BA63" i="1" s="1"/>
  <c r="AH63" i="1"/>
  <c r="BI62" i="1"/>
  <c r="BH62" i="1"/>
  <c r="BG62" i="1"/>
  <c r="BC62" i="1"/>
  <c r="BD62" i="1" s="1"/>
  <c r="AZ62" i="1"/>
  <c r="AW62" i="1"/>
  <c r="BE62" i="1" s="1"/>
  <c r="AR62" i="1"/>
  <c r="BK62" i="1" s="1"/>
  <c r="BJ62" i="1" s="1"/>
  <c r="AH62" i="1"/>
  <c r="AN62" i="1" s="1"/>
  <c r="BA62" i="1" s="1"/>
  <c r="BH61" i="1"/>
  <c r="BI61" i="1" s="1"/>
  <c r="BG61" i="1"/>
  <c r="BC61" i="1"/>
  <c r="BD61" i="1" s="1"/>
  <c r="AZ61" i="1"/>
  <c r="AW61" i="1"/>
  <c r="AR61" i="1"/>
  <c r="BK61" i="1" s="1"/>
  <c r="BJ61" i="1" s="1"/>
  <c r="AN61" i="1"/>
  <c r="BA61" i="1" s="1"/>
  <c r="AH61" i="1"/>
  <c r="BH60" i="1"/>
  <c r="BI60" i="1" s="1"/>
  <c r="BG60" i="1"/>
  <c r="BD60" i="1"/>
  <c r="BC60" i="1"/>
  <c r="AZ60" i="1"/>
  <c r="AW60" i="1"/>
  <c r="BE60" i="1" s="1"/>
  <c r="AR60" i="1"/>
  <c r="BK60" i="1" s="1"/>
  <c r="BJ60" i="1" s="1"/>
  <c r="AN60" i="1"/>
  <c r="BA60" i="1" s="1"/>
  <c r="AH60" i="1"/>
  <c r="BH59" i="1"/>
  <c r="BG59" i="1"/>
  <c r="BI59" i="1" s="1"/>
  <c r="BC59" i="1"/>
  <c r="BD59" i="1" s="1"/>
  <c r="BA59" i="1"/>
  <c r="AZ59" i="1"/>
  <c r="AW59" i="1"/>
  <c r="AR59" i="1"/>
  <c r="BK59" i="1" s="1"/>
  <c r="BJ59" i="1" s="1"/>
  <c r="AH59" i="1"/>
  <c r="AN59" i="1" s="1"/>
  <c r="BJ58" i="1"/>
  <c r="BH58" i="1"/>
  <c r="BG58" i="1"/>
  <c r="AZ58" i="1"/>
  <c r="AW58" i="1"/>
  <c r="AR58" i="1"/>
  <c r="AH58" i="1"/>
  <c r="AN58" i="1" s="1"/>
  <c r="BA58" i="1" s="1"/>
  <c r="BJ57" i="1"/>
  <c r="BH57" i="1"/>
  <c r="BG57" i="1"/>
  <c r="AZ57" i="1"/>
  <c r="AW57" i="1"/>
  <c r="AR57" i="1"/>
  <c r="AH57" i="1"/>
  <c r="AN57" i="1" s="1"/>
  <c r="BA57" i="1" s="1"/>
  <c r="BH56" i="1"/>
  <c r="BI56" i="1" s="1"/>
  <c r="BG56" i="1"/>
  <c r="BC56" i="1"/>
  <c r="BD56" i="1" s="1"/>
  <c r="BA56" i="1"/>
  <c r="AZ56" i="1"/>
  <c r="AW56" i="1"/>
  <c r="AR56" i="1"/>
  <c r="BK56" i="1" s="1"/>
  <c r="BJ56" i="1" s="1"/>
  <c r="AN56" i="1"/>
  <c r="AH56" i="1"/>
  <c r="BH55" i="1"/>
  <c r="BG55" i="1"/>
  <c r="BI55" i="1" s="1"/>
  <c r="BD55" i="1"/>
  <c r="BC55" i="1"/>
  <c r="AZ55" i="1"/>
  <c r="AW55" i="1"/>
  <c r="AR55" i="1"/>
  <c r="BK55" i="1" s="1"/>
  <c r="BJ55" i="1" s="1"/>
  <c r="AN55" i="1"/>
  <c r="BA55" i="1" s="1"/>
  <c r="AH55" i="1"/>
  <c r="BH54" i="1"/>
  <c r="BG54" i="1"/>
  <c r="BI54" i="1" s="1"/>
  <c r="BC54" i="1"/>
  <c r="BD54" i="1" s="1"/>
  <c r="AZ54" i="1"/>
  <c r="AW54" i="1"/>
  <c r="BE54" i="1" s="1"/>
  <c r="AR54" i="1"/>
  <c r="BK54" i="1" s="1"/>
  <c r="BJ54" i="1" s="1"/>
  <c r="AH54" i="1"/>
  <c r="AN54" i="1" s="1"/>
  <c r="BA54" i="1" s="1"/>
  <c r="BJ53" i="1"/>
  <c r="BH53" i="1"/>
  <c r="BG53" i="1"/>
  <c r="AZ53" i="1"/>
  <c r="AW53" i="1"/>
  <c r="AR53" i="1"/>
  <c r="AH53" i="1"/>
  <c r="AN53" i="1" s="1"/>
  <c r="BA53" i="1" s="1"/>
  <c r="BH52" i="1"/>
  <c r="BG52" i="1"/>
  <c r="BI52" i="1" s="1"/>
  <c r="BD52" i="1"/>
  <c r="BC52" i="1"/>
  <c r="AZ52" i="1"/>
  <c r="AW52" i="1"/>
  <c r="BE52" i="1" s="1"/>
  <c r="AR52" i="1"/>
  <c r="BK52" i="1" s="1"/>
  <c r="BJ52" i="1" s="1"/>
  <c r="AN52" i="1"/>
  <c r="BA52" i="1" s="1"/>
  <c r="AH52" i="1"/>
  <c r="BI51" i="1"/>
  <c r="BH51" i="1"/>
  <c r="BG51" i="1"/>
  <c r="BD51" i="1"/>
  <c r="BC51" i="1"/>
  <c r="AZ51" i="1"/>
  <c r="AW51" i="1"/>
  <c r="AR51" i="1"/>
  <c r="BK51" i="1" s="1"/>
  <c r="BJ51" i="1" s="1"/>
  <c r="AN51" i="1"/>
  <c r="BA51" i="1" s="1"/>
  <c r="AH51" i="1"/>
  <c r="BJ50" i="1"/>
  <c r="BH50" i="1"/>
  <c r="BG50" i="1"/>
  <c r="AZ50" i="1"/>
  <c r="AW50" i="1"/>
  <c r="AR50" i="1"/>
  <c r="AH50" i="1"/>
  <c r="AN50" i="1" s="1"/>
  <c r="BA50" i="1" s="1"/>
  <c r="BJ49" i="1"/>
  <c r="BH49" i="1"/>
  <c r="BG49" i="1"/>
  <c r="AZ49" i="1"/>
  <c r="AW49" i="1"/>
  <c r="AR49" i="1"/>
  <c r="AH49" i="1"/>
  <c r="AN49" i="1" s="1"/>
  <c r="BA49" i="1" s="1"/>
  <c r="BJ48" i="1"/>
  <c r="BH48" i="1"/>
  <c r="BG48" i="1"/>
  <c r="AZ48" i="1"/>
  <c r="AW48" i="1"/>
  <c r="AR48" i="1"/>
  <c r="AN48" i="1"/>
  <c r="BA48" i="1" s="1"/>
  <c r="AH48" i="1"/>
  <c r="BH47" i="1"/>
  <c r="BG47" i="1"/>
  <c r="BI47" i="1" s="1"/>
  <c r="BC47" i="1"/>
  <c r="BD47" i="1" s="1"/>
  <c r="AZ47" i="1"/>
  <c r="AW47" i="1"/>
  <c r="BE47" i="1" s="1"/>
  <c r="AR47" i="1"/>
  <c r="BK47" i="1" s="1"/>
  <c r="BJ47" i="1" s="1"/>
  <c r="AH47" i="1"/>
  <c r="AN47" i="1" s="1"/>
  <c r="BA47" i="1" s="1"/>
  <c r="BJ46" i="1"/>
  <c r="BH46" i="1"/>
  <c r="BG46" i="1"/>
  <c r="AZ46" i="1"/>
  <c r="AW46" i="1"/>
  <c r="AR46" i="1"/>
  <c r="AH46" i="1"/>
  <c r="AN46" i="1" s="1"/>
  <c r="BA46" i="1" s="1"/>
  <c r="BJ45" i="1"/>
  <c r="BH45" i="1"/>
  <c r="BG45" i="1"/>
  <c r="AZ45" i="1"/>
  <c r="AW45" i="1"/>
  <c r="AR45" i="1"/>
  <c r="AH45" i="1"/>
  <c r="AN45" i="1" s="1"/>
  <c r="BA45" i="1" s="1"/>
  <c r="BJ44" i="1"/>
  <c r="BH44" i="1"/>
  <c r="BG44" i="1"/>
  <c r="AZ44" i="1"/>
  <c r="AW44" i="1"/>
  <c r="AR44" i="1"/>
  <c r="AH44" i="1"/>
  <c r="AN44" i="1" s="1"/>
  <c r="BA44" i="1" s="1"/>
  <c r="BH43" i="1"/>
  <c r="BG43" i="1"/>
  <c r="BI43" i="1" s="1"/>
  <c r="BD43" i="1"/>
  <c r="BC43" i="1"/>
  <c r="BA43" i="1"/>
  <c r="AZ43" i="1"/>
  <c r="AW43" i="1"/>
  <c r="BE43" i="1" s="1"/>
  <c r="AR43" i="1"/>
  <c r="BK43" i="1" s="1"/>
  <c r="BJ43" i="1" s="1"/>
  <c r="AN43" i="1"/>
  <c r="AH43" i="1"/>
  <c r="BH42" i="1"/>
  <c r="BI42" i="1" s="1"/>
  <c r="BG42" i="1"/>
  <c r="BC42" i="1"/>
  <c r="BD42" i="1" s="1"/>
  <c r="AZ42" i="1"/>
  <c r="AW42" i="1"/>
  <c r="AR42" i="1"/>
  <c r="BK42" i="1" s="1"/>
  <c r="BJ42" i="1" s="1"/>
  <c r="AN42" i="1"/>
  <c r="BA42" i="1" s="1"/>
  <c r="AH42" i="1"/>
  <c r="BH41" i="1"/>
  <c r="BG41" i="1"/>
  <c r="BI41" i="1" s="1"/>
  <c r="BC41" i="1"/>
  <c r="BD41" i="1" s="1"/>
  <c r="BA41" i="1"/>
  <c r="AZ41" i="1"/>
  <c r="AW41" i="1"/>
  <c r="AR41" i="1"/>
  <c r="BK41" i="1" s="1"/>
  <c r="BJ41" i="1" s="1"/>
  <c r="AN41" i="1"/>
  <c r="AH41" i="1"/>
  <c r="BI40" i="1"/>
  <c r="BH40" i="1"/>
  <c r="BG40" i="1"/>
  <c r="BA40" i="1"/>
  <c r="AZ40" i="1"/>
  <c r="AW40" i="1"/>
  <c r="AR40" i="1"/>
  <c r="BK40" i="1" s="1"/>
  <c r="BJ40" i="1" s="1"/>
  <c r="AH40" i="1"/>
  <c r="AN40" i="1" s="1"/>
  <c r="BH39" i="1"/>
  <c r="BG39" i="1"/>
  <c r="AZ39" i="1"/>
  <c r="AW39" i="1"/>
  <c r="AR39" i="1"/>
  <c r="BK39" i="1" s="1"/>
  <c r="BJ39" i="1" s="1"/>
  <c r="AN39" i="1"/>
  <c r="BA39" i="1" s="1"/>
  <c r="AH39" i="1"/>
  <c r="BH38" i="1"/>
  <c r="BG38" i="1"/>
  <c r="BI38" i="1" s="1"/>
  <c r="AZ38" i="1"/>
  <c r="AW38" i="1"/>
  <c r="AR38" i="1"/>
  <c r="BK38" i="1" s="1"/>
  <c r="BJ38" i="1" s="1"/>
  <c r="AH38" i="1"/>
  <c r="AN38" i="1" s="1"/>
  <c r="BA38" i="1" s="1"/>
  <c r="BI37" i="1"/>
  <c r="BH37" i="1"/>
  <c r="BG37" i="1"/>
  <c r="BA37" i="1"/>
  <c r="AZ37" i="1"/>
  <c r="AW37" i="1"/>
  <c r="AR37" i="1"/>
  <c r="BK37" i="1" s="1"/>
  <c r="BJ37" i="1" s="1"/>
  <c r="AN37" i="1"/>
  <c r="AH37" i="1"/>
  <c r="BI36" i="1"/>
  <c r="BH36" i="1"/>
  <c r="BG36" i="1"/>
  <c r="AZ36" i="1"/>
  <c r="AW36" i="1"/>
  <c r="AR36" i="1"/>
  <c r="BK36" i="1" s="1"/>
  <c r="BJ36" i="1" s="1"/>
  <c r="AN36" i="1"/>
  <c r="BA36" i="1" s="1"/>
  <c r="AH36" i="1"/>
  <c r="BH35" i="1"/>
  <c r="BG35" i="1"/>
  <c r="BI35" i="1" s="1"/>
  <c r="AZ35" i="1"/>
  <c r="AW35" i="1"/>
  <c r="AR35" i="1"/>
  <c r="BK35" i="1" s="1"/>
  <c r="BJ35" i="1" s="1"/>
  <c r="AH35" i="1"/>
  <c r="AN35" i="1" s="1"/>
  <c r="BA35" i="1" s="1"/>
  <c r="BH34" i="1"/>
  <c r="BG34" i="1"/>
  <c r="BI34" i="1" s="1"/>
  <c r="BD34" i="1"/>
  <c r="BC34" i="1"/>
  <c r="AZ34" i="1"/>
  <c r="AW34" i="1"/>
  <c r="BE34" i="1" s="1"/>
  <c r="AR34" i="1"/>
  <c r="BK34" i="1" s="1"/>
  <c r="BJ34" i="1" s="1"/>
  <c r="AN34" i="1"/>
  <c r="BA34" i="1" s="1"/>
  <c r="AH34" i="1"/>
  <c r="BH33" i="1"/>
  <c r="BI33" i="1" s="1"/>
  <c r="BG33" i="1"/>
  <c r="BC33" i="1"/>
  <c r="BD33" i="1" s="1"/>
  <c r="AZ33" i="1"/>
  <c r="AW33" i="1"/>
  <c r="AR33" i="1"/>
  <c r="BK33" i="1" s="1"/>
  <c r="BJ33" i="1" s="1"/>
  <c r="AH33" i="1"/>
  <c r="AN33" i="1" s="1"/>
  <c r="BA33" i="1" s="1"/>
  <c r="BH32" i="1"/>
  <c r="BG32" i="1"/>
  <c r="BI32" i="1" s="1"/>
  <c r="AZ32" i="1"/>
  <c r="AW32" i="1"/>
  <c r="AR32" i="1"/>
  <c r="BK32" i="1" s="1"/>
  <c r="BJ32" i="1" s="1"/>
  <c r="AN32" i="1"/>
  <c r="BA32" i="1" s="1"/>
  <c r="AH32" i="1"/>
  <c r="BI31" i="1"/>
  <c r="BH31" i="1"/>
  <c r="BG31" i="1"/>
  <c r="BD31" i="1"/>
  <c r="BC31" i="1"/>
  <c r="AZ31" i="1"/>
  <c r="AW31" i="1"/>
  <c r="AR31" i="1"/>
  <c r="BK31" i="1" s="1"/>
  <c r="BJ31" i="1" s="1"/>
  <c r="AN31" i="1"/>
  <c r="BA31" i="1" s="1"/>
  <c r="AH31" i="1"/>
  <c r="BH30" i="1"/>
  <c r="BG30" i="1"/>
  <c r="BC30" i="1"/>
  <c r="BD30" i="1" s="1"/>
  <c r="BA30" i="1"/>
  <c r="AZ30" i="1"/>
  <c r="AW30" i="1"/>
  <c r="AR30" i="1"/>
  <c r="BK30" i="1" s="1"/>
  <c r="BJ30" i="1" s="1"/>
  <c r="AN30" i="1"/>
  <c r="AH30" i="1"/>
  <c r="BH29" i="1"/>
  <c r="BG29" i="1"/>
  <c r="BI29" i="1" s="1"/>
  <c r="BD29" i="1"/>
  <c r="BC29" i="1"/>
  <c r="AZ29" i="1"/>
  <c r="AW29" i="1"/>
  <c r="AR29" i="1"/>
  <c r="BK29" i="1" s="1"/>
  <c r="BJ29" i="1" s="1"/>
  <c r="AH29" i="1"/>
  <c r="AN29" i="1" s="1"/>
  <c r="BH28" i="1"/>
  <c r="BI28" i="1"/>
  <c r="BD28" i="1"/>
  <c r="BC28" i="1"/>
  <c r="AZ28" i="1"/>
  <c r="AW28" i="1"/>
  <c r="AR28" i="1"/>
  <c r="BK28" i="1" s="1"/>
  <c r="BJ28" i="1" s="1"/>
  <c r="AN28" i="1"/>
  <c r="AH28" i="1"/>
  <c r="BC27" i="1"/>
  <c r="BD27" i="1" s="1"/>
  <c r="AZ27" i="1"/>
  <c r="AW27" i="1"/>
  <c r="AR27" i="1"/>
  <c r="BK27" i="1" s="1"/>
  <c r="BJ27" i="1" s="1"/>
  <c r="AN27" i="1"/>
  <c r="AH27" i="1"/>
  <c r="BI26" i="1"/>
  <c r="BC26" i="1"/>
  <c r="BD26" i="1" s="1"/>
  <c r="AZ26" i="1"/>
  <c r="AW26" i="1"/>
  <c r="AR26" i="1"/>
  <c r="BK26" i="1" s="1"/>
  <c r="BJ26" i="1" s="1"/>
  <c r="AH26" i="1"/>
  <c r="AN26" i="1" s="1"/>
  <c r="BA26" i="1" s="1"/>
  <c r="BD25" i="1"/>
  <c r="BC25" i="1"/>
  <c r="AZ25" i="1"/>
  <c r="AW25" i="1"/>
  <c r="BE25" i="1" s="1"/>
  <c r="AR25" i="1"/>
  <c r="BK25" i="1" s="1"/>
  <c r="BJ25" i="1" s="1"/>
  <c r="AH25" i="1"/>
  <c r="AN25" i="1" s="1"/>
  <c r="BA25" i="1" s="1"/>
  <c r="BI24" i="1"/>
  <c r="BC24" i="1"/>
  <c r="BD24" i="1" s="1"/>
  <c r="AZ24" i="1"/>
  <c r="AW24" i="1"/>
  <c r="BE24" i="1" s="1"/>
  <c r="AR24" i="1"/>
  <c r="BK24" i="1" s="1"/>
  <c r="BJ24" i="1" s="1"/>
  <c r="AH24" i="1"/>
  <c r="AN24" i="1" s="1"/>
  <c r="BA24" i="1" s="1"/>
  <c r="BI23" i="1"/>
  <c r="BD23" i="1"/>
  <c r="BC23" i="1"/>
  <c r="AZ23" i="1"/>
  <c r="AW23" i="1"/>
  <c r="BE23" i="1" s="1"/>
  <c r="AR23" i="1"/>
  <c r="BK23" i="1" s="1"/>
  <c r="BJ23" i="1" s="1"/>
  <c r="AH23" i="1"/>
  <c r="AN23" i="1" s="1"/>
  <c r="BA23" i="1" s="1"/>
  <c r="BI22" i="1"/>
  <c r="BD22" i="1"/>
  <c r="BC22" i="1"/>
  <c r="AZ22" i="1"/>
  <c r="AW22" i="1"/>
  <c r="BE22" i="1" s="1"/>
  <c r="AR22" i="1"/>
  <c r="BK22" i="1" s="1"/>
  <c r="BJ22" i="1" s="1"/>
  <c r="AH22" i="1"/>
  <c r="AN22" i="1" s="1"/>
  <c r="BA22" i="1" s="1"/>
  <c r="BI21" i="1"/>
  <c r="BD21" i="1"/>
  <c r="BC21" i="1"/>
  <c r="AZ21" i="1"/>
  <c r="AW21" i="1"/>
  <c r="AR21" i="1"/>
  <c r="BK21" i="1" s="1"/>
  <c r="BJ21" i="1" s="1"/>
  <c r="AH21" i="1"/>
  <c r="AN21" i="1" s="1"/>
  <c r="BI20" i="1"/>
  <c r="BC20" i="1"/>
  <c r="BD20" i="1" s="1"/>
  <c r="AZ20" i="1"/>
  <c r="AW20" i="1"/>
  <c r="BE20" i="1" s="1"/>
  <c r="AR20" i="1"/>
  <c r="BK20" i="1" s="1"/>
  <c r="BJ20" i="1" s="1"/>
  <c r="AN20" i="1"/>
  <c r="BA20" i="1" s="1"/>
  <c r="AH20" i="1"/>
  <c r="BI19" i="1"/>
  <c r="BC19" i="1"/>
  <c r="BD19" i="1" s="1"/>
  <c r="AZ19" i="1"/>
  <c r="AW19" i="1"/>
  <c r="AR19" i="1"/>
  <c r="BK19" i="1" s="1"/>
  <c r="BJ19" i="1" s="1"/>
  <c r="AH19" i="1"/>
  <c r="AN19" i="1" s="1"/>
  <c r="BA19" i="1" s="1"/>
  <c r="BD18" i="1"/>
  <c r="BC18" i="1"/>
  <c r="AZ18" i="1"/>
  <c r="AW18" i="1"/>
  <c r="AR18" i="1"/>
  <c r="BK18" i="1" s="1"/>
  <c r="BJ18" i="1" s="1"/>
  <c r="AN18" i="1"/>
  <c r="BA18" i="1" s="1"/>
  <c r="AH18" i="1"/>
  <c r="BC17" i="1"/>
  <c r="BD17" i="1" s="1"/>
  <c r="AZ17" i="1"/>
  <c r="AW17" i="1"/>
  <c r="AR17" i="1"/>
  <c r="BK17" i="1" s="1"/>
  <c r="BJ17" i="1" s="1"/>
  <c r="AH17" i="1"/>
  <c r="AN17" i="1" s="1"/>
  <c r="BI16" i="1"/>
  <c r="BC16" i="1"/>
  <c r="BD16" i="1" s="1"/>
  <c r="AZ16" i="1"/>
  <c r="AW16" i="1"/>
  <c r="AR16" i="1"/>
  <c r="BK16" i="1" s="1"/>
  <c r="BJ16" i="1" s="1"/>
  <c r="AH16" i="1"/>
  <c r="AN16" i="1" s="1"/>
  <c r="BA16" i="1" s="1"/>
  <c r="BD15" i="1"/>
  <c r="BC15" i="1"/>
  <c r="AZ15" i="1"/>
  <c r="AW15" i="1"/>
  <c r="BE15" i="1" s="1"/>
  <c r="AR15" i="1"/>
  <c r="BK15" i="1" s="1"/>
  <c r="BJ15" i="1" s="1"/>
  <c r="AN15" i="1"/>
  <c r="BA15" i="1" s="1"/>
  <c r="AH15" i="1"/>
  <c r="BI14" i="1"/>
  <c r="BC14" i="1"/>
  <c r="BD14" i="1" s="1"/>
  <c r="AZ14" i="1"/>
  <c r="AW14" i="1"/>
  <c r="AR14" i="1"/>
  <c r="BK14" i="1" s="1"/>
  <c r="BJ14" i="1" s="1"/>
  <c r="AH14" i="1"/>
  <c r="AN14" i="1" s="1"/>
  <c r="BD13" i="1"/>
  <c r="BC13" i="1"/>
  <c r="AZ13" i="1"/>
  <c r="AW13" i="1"/>
  <c r="AR13" i="1"/>
  <c r="BK13" i="1" s="1"/>
  <c r="BJ13" i="1" s="1"/>
  <c r="AN13" i="1"/>
  <c r="BA13" i="1" s="1"/>
  <c r="AH13" i="1"/>
  <c r="BI12" i="1"/>
  <c r="BD12" i="1"/>
  <c r="BC12" i="1"/>
  <c r="AZ12" i="1"/>
  <c r="AW12" i="1"/>
  <c r="AR12" i="1"/>
  <c r="BK12" i="1" s="1"/>
  <c r="BJ12" i="1" s="1"/>
  <c r="AH12" i="1"/>
  <c r="AN12" i="1" s="1"/>
  <c r="BA12" i="1" s="1"/>
  <c r="BI11" i="1"/>
  <c r="BD11" i="1"/>
  <c r="BC11" i="1"/>
  <c r="AZ11" i="1"/>
  <c r="AW11" i="1"/>
  <c r="BE11" i="1" s="1"/>
  <c r="AR11" i="1"/>
  <c r="BK11" i="1" s="1"/>
  <c r="BJ11" i="1" s="1"/>
  <c r="AN11" i="1"/>
  <c r="AH11" i="1"/>
  <c r="BC10" i="1"/>
  <c r="BD10" i="1" s="1"/>
  <c r="AZ10" i="1"/>
  <c r="AW10" i="1"/>
  <c r="AH10" i="1"/>
  <c r="AN10" i="1" s="1"/>
  <c r="BC9" i="1"/>
  <c r="BD9" i="1" s="1"/>
  <c r="AZ9" i="1"/>
  <c r="AW9" i="1"/>
  <c r="AN9" i="1"/>
  <c r="BA9" i="1" s="1"/>
  <c r="AH9" i="1"/>
  <c r="BD8" i="1"/>
  <c r="BC8" i="1"/>
  <c r="AZ8" i="1"/>
  <c r="AW8" i="1"/>
  <c r="AN8" i="1"/>
  <c r="AH8" i="1"/>
  <c r="BC7" i="1"/>
  <c r="BD7" i="1" s="1"/>
  <c r="AZ7" i="1"/>
  <c r="AW7" i="1"/>
  <c r="BE7" i="1" s="1"/>
  <c r="AH7" i="1"/>
  <c r="AN7" i="1" s="1"/>
  <c r="BA7" i="1" s="1"/>
  <c r="BD6" i="1"/>
  <c r="BC6" i="1"/>
  <c r="AZ6" i="1"/>
  <c r="AW6" i="1"/>
  <c r="AH6" i="1"/>
  <c r="AN6" i="1" s="1"/>
  <c r="BA6" i="1" s="1"/>
  <c r="BD5" i="1"/>
  <c r="BC5" i="1"/>
  <c r="AZ5" i="1"/>
  <c r="AW5" i="1"/>
  <c r="AP5" i="1" a="1"/>
  <c r="AP10" i="1" s="1"/>
  <c r="BG10" i="1" s="1"/>
  <c r="AH5" i="1"/>
  <c r="AN5" i="1" s="1"/>
  <c r="BA17" i="1" l="1"/>
  <c r="BA28" i="1"/>
  <c r="BE55" i="1"/>
  <c r="BA29" i="1"/>
  <c r="BE31" i="1"/>
  <c r="BE29" i="1"/>
  <c r="BE105" i="1"/>
  <c r="BE17" i="1"/>
  <c r="BE93" i="1"/>
  <c r="BE82" i="1"/>
  <c r="BE100" i="1"/>
  <c r="BE68" i="1"/>
  <c r="BE75" i="1"/>
  <c r="BE114" i="1"/>
  <c r="BE64" i="1"/>
  <c r="BE106" i="1"/>
  <c r="BE141" i="1"/>
  <c r="BE200" i="1"/>
  <c r="BE98" i="1"/>
  <c r="BE12" i="1"/>
  <c r="BE129" i="1"/>
  <c r="BE90" i="1"/>
  <c r="BE176" i="1"/>
  <c r="BE206" i="1"/>
  <c r="BE14" i="1"/>
  <c r="BE92" i="1"/>
  <c r="BE212" i="1"/>
  <c r="BE69" i="1"/>
  <c r="BE88" i="1"/>
  <c r="BE112" i="1"/>
  <c r="BE171" i="1"/>
  <c r="BE6" i="1"/>
  <c r="BE41" i="1"/>
  <c r="BE123" i="1"/>
  <c r="BE150" i="1"/>
  <c r="BE195" i="1"/>
  <c r="BE16" i="1"/>
  <c r="BE18" i="1"/>
  <c r="BE87" i="1"/>
  <c r="BE111" i="1"/>
  <c r="BE158" i="1"/>
  <c r="BE186" i="1"/>
  <c r="BE194" i="1"/>
  <c r="BE153" i="1"/>
  <c r="BE180" i="1"/>
  <c r="BE132" i="1"/>
  <c r="BE168" i="1"/>
  <c r="BE192" i="1"/>
  <c r="BI17" i="1"/>
  <c r="BA27" i="1"/>
  <c r="BE63" i="1"/>
  <c r="BE84" i="1"/>
  <c r="BE152" i="1"/>
  <c r="BE170" i="1"/>
  <c r="BE80" i="1"/>
  <c r="BE81" i="1"/>
  <c r="BE133" i="1"/>
  <c r="BE134" i="1"/>
  <c r="BE147" i="1"/>
  <c r="BE189" i="1"/>
  <c r="BE9" i="1"/>
  <c r="BA14" i="1"/>
  <c r="BE28" i="1"/>
  <c r="BE66" i="1"/>
  <c r="BE99" i="1"/>
  <c r="BE102" i="1"/>
  <c r="BE122" i="1"/>
  <c r="BE208" i="1"/>
  <c r="BA10" i="1"/>
  <c r="BE76" i="1"/>
  <c r="BE94" i="1"/>
  <c r="BE118" i="1"/>
  <c r="BE121" i="1"/>
  <c r="BE165" i="1"/>
  <c r="BE219" i="1"/>
  <c r="BE19" i="1"/>
  <c r="BA8" i="1"/>
  <c r="BE10" i="1"/>
  <c r="BE27" i="1"/>
  <c r="BE61" i="1"/>
  <c r="BE79" i="1"/>
  <c r="BE146" i="1"/>
  <c r="BE172" i="1"/>
  <c r="BE188" i="1"/>
  <c r="BA21" i="1"/>
  <c r="BE110" i="1"/>
  <c r="BE117" i="1"/>
  <c r="BE164" i="1"/>
  <c r="BE213" i="1"/>
  <c r="BE217" i="1"/>
  <c r="BE13" i="1"/>
  <c r="BE26" i="1"/>
  <c r="BE70" i="1"/>
  <c r="BE73" i="1"/>
  <c r="BE74" i="1"/>
  <c r="BE115" i="1"/>
  <c r="BE182" i="1"/>
  <c r="BE190" i="1"/>
  <c r="BE211" i="1"/>
  <c r="BE218" i="1"/>
  <c r="BE8" i="1"/>
  <c r="BA11" i="1"/>
  <c r="BE21" i="1"/>
  <c r="BE86" i="1"/>
  <c r="BE127" i="1"/>
  <c r="BE128" i="1"/>
  <c r="BE140" i="1"/>
  <c r="BE157" i="1"/>
  <c r="BE207" i="1"/>
  <c r="BE215" i="1"/>
  <c r="AN221" i="1"/>
  <c r="BA5" i="1"/>
  <c r="AQ5" i="1"/>
  <c r="BH5" i="1" s="1"/>
  <c r="AW221" i="1"/>
  <c r="BE103" i="1"/>
  <c r="BE116" i="1"/>
  <c r="AP7" i="1"/>
  <c r="BG7" i="1" s="1"/>
  <c r="BI18" i="1"/>
  <c r="BI30" i="1"/>
  <c r="BI122" i="1"/>
  <c r="AQ6" i="1"/>
  <c r="BH6" i="1" s="1"/>
  <c r="BE77" i="1"/>
  <c r="BE85" i="1"/>
  <c r="BE101" i="1"/>
  <c r="AP6" i="1"/>
  <c r="AQ7" i="1"/>
  <c r="BH7" i="1" s="1"/>
  <c r="AP8" i="1"/>
  <c r="BG8" i="1" s="1"/>
  <c r="BE5" i="1"/>
  <c r="BI71" i="1"/>
  <c r="BI95" i="1"/>
  <c r="BE107" i="1"/>
  <c r="AZ221" i="1"/>
  <c r="BD221" i="1"/>
  <c r="AQ8" i="1"/>
  <c r="BH8" i="1" s="1"/>
  <c r="BI39" i="1"/>
  <c r="BI121" i="1"/>
  <c r="BE67" i="1"/>
  <c r="BE83" i="1"/>
  <c r="BE91" i="1"/>
  <c r="BE119" i="1"/>
  <c r="AP5" i="1"/>
  <c r="BG5" i="1" s="1"/>
  <c r="BE33" i="1"/>
  <c r="AQ10" i="1"/>
  <c r="BH10" i="1" s="1"/>
  <c r="BE30" i="1"/>
  <c r="AP9" i="1"/>
  <c r="BG9" i="1" s="1"/>
  <c r="BE51" i="1"/>
  <c r="AQ9" i="1"/>
  <c r="BH9" i="1" s="1"/>
  <c r="BE42" i="1"/>
  <c r="BE56" i="1"/>
  <c r="BE59" i="1"/>
  <c r="BI107" i="1"/>
  <c r="BE130" i="1"/>
  <c r="BE178" i="1"/>
  <c r="BE185" i="1"/>
  <c r="BE214" i="1"/>
  <c r="BE137" i="1"/>
  <c r="BE145" i="1"/>
  <c r="BE199" i="1"/>
  <c r="BI131" i="1"/>
  <c r="BI140" i="1"/>
  <c r="BE151" i="1"/>
  <c r="BI194" i="1"/>
  <c r="BE205" i="1"/>
  <c r="BI137" i="1"/>
  <c r="BE149" i="1"/>
  <c r="BI158" i="1"/>
  <c r="BE142" i="1"/>
  <c r="BE155" i="1"/>
  <c r="BE175" i="1"/>
  <c r="BE196" i="1"/>
  <c r="BE148" i="1"/>
  <c r="BE161" i="1"/>
  <c r="BI170" i="1"/>
  <c r="BE181" i="1"/>
  <c r="BE203" i="1"/>
  <c r="BI206" i="1"/>
  <c r="BE124" i="1"/>
  <c r="BI128" i="1"/>
  <c r="BE154" i="1"/>
  <c r="BE167" i="1"/>
  <c r="BI176" i="1"/>
  <c r="BE202" i="1"/>
  <c r="BE187" i="1"/>
  <c r="BE131" i="1"/>
  <c r="BI155" i="1"/>
  <c r="BE166" i="1"/>
  <c r="BE179" i="1"/>
  <c r="BI182" i="1"/>
  <c r="BE220" i="1"/>
  <c r="BI5" i="1" l="1"/>
  <c r="AR6" i="1"/>
  <c r="BG6" i="1"/>
  <c r="BA221" i="1"/>
  <c r="BI7" i="1"/>
  <c r="AR7" i="1"/>
  <c r="BE221" i="1"/>
  <c r="AR8" i="1"/>
  <c r="BI8" i="1"/>
  <c r="BI10" i="1"/>
  <c r="AR10" i="1"/>
  <c r="BK10" i="1" s="1"/>
  <c r="BJ10" i="1" s="1"/>
  <c r="BI6" i="1"/>
  <c r="AR5" i="1"/>
  <c r="AR9" i="1"/>
  <c r="BI9" i="1"/>
  <c r="BK9" i="1" l="1"/>
  <c r="BJ9" i="1" s="1"/>
  <c r="BK6" i="1"/>
  <c r="BJ6" i="1" s="1"/>
  <c r="BI221" i="1"/>
  <c r="BG1" i="1" s="1"/>
  <c r="BK8" i="1"/>
  <c r="BJ8" i="1" s="1"/>
  <c r="BK7" i="1"/>
  <c r="BJ7" i="1" s="1"/>
  <c r="AR221" i="1"/>
  <c r="AP1" i="1" s="1"/>
  <c r="BK5" i="1"/>
  <c r="BK221" i="1" l="1"/>
  <c r="BJ5" i="1"/>
</calcChain>
</file>

<file path=xl/sharedStrings.xml><?xml version="1.0" encoding="utf-8"?>
<sst xmlns="http://schemas.openxmlformats.org/spreadsheetml/2006/main" count="61" uniqueCount="53">
  <si>
    <t>Pesquisa Prévia</t>
  </si>
  <si>
    <t>Média para compra</t>
  </si>
  <si>
    <t>Valor incluído na compra</t>
  </si>
  <si>
    <t>Quant. do item compra</t>
  </si>
  <si>
    <t>Valor total do item</t>
  </si>
  <si>
    <t>Reserva</t>
  </si>
  <si>
    <t>Item TR/Aviso/Edital</t>
  </si>
  <si>
    <t>Referencial</t>
  </si>
  <si>
    <t>Licitação</t>
  </si>
  <si>
    <t>Reserva final</t>
  </si>
  <si>
    <t>Item da Compra</t>
  </si>
  <si>
    <t>Grupo Orçament.</t>
  </si>
  <si>
    <t>Elemento despesa</t>
  </si>
  <si>
    <t>DFD</t>
  </si>
  <si>
    <t>CATMAT</t>
  </si>
  <si>
    <t>Fornecedores</t>
  </si>
  <si>
    <t>Valor</t>
  </si>
  <si>
    <t>Lote/Item</t>
  </si>
  <si>
    <t>Valor unitário</t>
  </si>
  <si>
    <t>Valor total final</t>
  </si>
  <si>
    <t>Diferença</t>
  </si>
  <si>
    <t>Lote</t>
  </si>
  <si>
    <t>Valor final</t>
  </si>
  <si>
    <t>Ação</t>
  </si>
  <si>
    <t>COMPRAS GOV</t>
  </si>
  <si>
    <t>Bem Estar</t>
  </si>
  <si>
    <t>Everest</t>
  </si>
  <si>
    <t>Givanildo</t>
  </si>
  <si>
    <t>Casas Bahia</t>
  </si>
  <si>
    <t>Amazon</t>
  </si>
  <si>
    <t>Magalu</t>
  </si>
  <si>
    <t>Havan</t>
  </si>
  <si>
    <t>GurgelMix</t>
  </si>
  <si>
    <t>Ebazar</t>
  </si>
  <si>
    <t>Ponto Frio</t>
  </si>
  <si>
    <t>Eletrolux</t>
  </si>
  <si>
    <t>Dutra</t>
  </si>
  <si>
    <t>Loja Bebedouro</t>
  </si>
  <si>
    <t>Tecno</t>
  </si>
  <si>
    <t>Agro Peperi</t>
  </si>
  <si>
    <t>Fogo Forte</t>
  </si>
  <si>
    <t>Refrisol</t>
  </si>
  <si>
    <t>Angeloni</t>
  </si>
  <si>
    <t>BUD</t>
  </si>
  <si>
    <t>Frigelar</t>
  </si>
  <si>
    <t>Philco</t>
  </si>
  <si>
    <t>Arsec</t>
  </si>
  <si>
    <t>Biosystems</t>
  </si>
  <si>
    <t>Grama</t>
  </si>
  <si>
    <t>Tajfif</t>
  </si>
  <si>
    <t>Biovera</t>
  </si>
  <si>
    <t>Total</t>
  </si>
  <si>
    <t>59.000RECEITA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</si>
</sst>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* #,##0.00_-;\-* #,##0.00_-;_-* \-??_-;_-@_-"/>
    <numFmt numFmtId="165" formatCode="0.0000"/>
    <numFmt numFmtId="166" formatCode="_-* #,##0.0000_-;\-* #,##0.0000_-;_-* \-??_-;_-@_-"/>
    <numFmt numFmtId="167" formatCode="_-* #,##0_-;\-* #,##0_-;_-* \-??_-;_-@_-"/>
  </numFmts>
  <fonts count="12" x14ac:knownFonts="1">
    <font>
      <sz val="11"/>
      <color theme="1"/>
      <name val="Calibri"/>
      <family val="2"/>
      <charset val="1"/>
    </font>
    <font>
      <b/>
      <sz val="14"/>
      <color rgb="FFFF0000"/>
      <name val="Calibri"/>
      <family val="2"/>
      <charset val="1"/>
    </font>
    <font>
      <b/>
      <sz val="11"/>
      <color theme="1"/>
      <name val="Calibri"/>
      <family val="2"/>
      <charset val="1"/>
    </font>
    <font>
      <sz val="11"/>
      <color theme="0"/>
      <name val="Calibri"/>
      <family val="2"/>
      <charset val="1"/>
    </font>
    <font>
      <b/>
      <sz val="11"/>
      <name val="Calibri"/>
      <family val="2"/>
      <charset val="1"/>
    </font>
    <font>
      <sz val="11"/>
      <name val="Calibri"/>
      <family val="2"/>
      <charset val="1"/>
    </font>
    <font>
      <sz val="11"/>
      <color theme="1"/>
      <name val="Calibri"/>
      <family val="2"/>
      <charset val="1"/>
    </font>
    <font>
      <sz val="10"/>
      <color rgb="FF000000"/>
      <name val="Arial Narrow"/>
      <family val="2"/>
    </font>
    <font>
      <b/>
      <sz val="11"/>
      <color rgb="FFFF0000"/>
      <name val="Calibri"/>
      <family val="2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sz val="1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rgb="FFFFFFCC"/>
      </patternFill>
    </fill>
    <fill>
      <patternFill patternType="solid">
        <fgColor rgb="FFFFFF00"/>
        <bgColor rgb="FFFFFF00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2">
    <xf numFmtId="0" fontId="0" fillId="0" borderId="0"/>
    <xf numFmtId="164" fontId="6" fillId="0" borderId="0" applyBorder="0" applyProtection="0"/>
  </cellStyleXfs>
  <cellXfs count="45">
    <xf numFmtId="0" fontId="0" fillId="0" borderId="0" xfId="0"/>
    <xf numFmtId="0" fontId="0" fillId="0" borderId="0" xfId="0" applyAlignment="1" applyProtection="1"/>
    <xf numFmtId="0" fontId="1" fillId="2" borderId="0" xfId="0" applyFont="1" applyFill="1" applyAlignment="1" applyProtection="1"/>
    <xf numFmtId="0" fontId="0" fillId="0" borderId="1" xfId="0" applyFont="1" applyBorder="1" applyAlignment="1" applyProtection="1">
      <alignment horizontal="center"/>
    </xf>
    <xf numFmtId="0" fontId="0" fillId="0" borderId="0" xfId="0" applyBorder="1" applyAlignment="1" applyProtection="1">
      <alignment horizontal="center" wrapText="1"/>
    </xf>
    <xf numFmtId="0" fontId="0" fillId="0" borderId="1" xfId="0" applyFont="1" applyBorder="1" applyAlignment="1" applyProtection="1">
      <alignment horizontal="center" shrinkToFit="1"/>
    </xf>
    <xf numFmtId="0" fontId="0" fillId="0" borderId="0" xfId="0" applyBorder="1" applyAlignment="1" applyProtection="1"/>
    <xf numFmtId="0" fontId="0" fillId="0" borderId="4" xfId="0" applyBorder="1" applyAlignment="1" applyProtection="1">
      <alignment horizontal="center" wrapText="1"/>
    </xf>
    <xf numFmtId="0" fontId="0" fillId="0" borderId="1" xfId="0" applyFont="1" applyBorder="1" applyAlignment="1" applyProtection="1"/>
    <xf numFmtId="3" fontId="0" fillId="3" borderId="1" xfId="0" applyNumberFormat="1" applyFont="1" applyFill="1" applyBorder="1" applyAlignment="1" applyProtection="1">
      <protection locked="0"/>
    </xf>
    <xf numFmtId="0" fontId="0" fillId="3" borderId="1" xfId="0" applyFill="1" applyBorder="1" applyAlignment="1" applyProtection="1">
      <protection locked="0"/>
    </xf>
    <xf numFmtId="164" fontId="2" fillId="3" borderId="1" xfId="1" applyFont="1" applyFill="1" applyBorder="1" applyAlignment="1" applyProtection="1">
      <alignment horizontal="right"/>
      <protection locked="0"/>
    </xf>
    <xf numFmtId="164" fontId="2" fillId="3" borderId="1" xfId="1" applyFont="1" applyFill="1" applyBorder="1" applyAlignment="1" applyProtection="1">
      <protection locked="0"/>
    </xf>
    <xf numFmtId="164" fontId="0" fillId="3" borderId="1" xfId="1" applyFont="1" applyFill="1" applyBorder="1" applyAlignment="1" applyProtection="1">
      <protection locked="0"/>
    </xf>
    <xf numFmtId="165" fontId="0" fillId="0" borderId="1" xfId="0" applyNumberFormat="1" applyBorder="1" applyAlignment="1" applyProtection="1"/>
    <xf numFmtId="166" fontId="0" fillId="3" borderId="1" xfId="1" applyNumberFormat="1" applyFont="1" applyFill="1" applyBorder="1" applyAlignment="1" applyProtection="1">
      <protection locked="0"/>
    </xf>
    <xf numFmtId="0" fontId="0" fillId="0" borderId="5" xfId="0" applyBorder="1" applyAlignment="1" applyProtection="1"/>
    <xf numFmtId="164" fontId="0" fillId="0" borderId="1" xfId="1" applyFont="1" applyBorder="1" applyAlignment="1" applyProtection="1"/>
    <xf numFmtId="3" fontId="0" fillId="3" borderId="1" xfId="0" applyNumberFormat="1" applyFill="1" applyBorder="1" applyAlignment="1" applyProtection="1">
      <protection locked="0"/>
    </xf>
    <xf numFmtId="0" fontId="0" fillId="3" borderId="1" xfId="0" applyFill="1" applyBorder="1" applyAlignment="1" applyProtection="1">
      <alignment horizontal="center"/>
      <protection locked="0"/>
    </xf>
    <xf numFmtId="164" fontId="3" fillId="0" borderId="1" xfId="1" applyFont="1" applyBorder="1" applyAlignment="1" applyProtection="1"/>
    <xf numFmtId="0" fontId="0" fillId="0" borderId="1" xfId="0" applyBorder="1" applyAlignment="1" applyProtection="1">
      <alignment horizontal="right"/>
    </xf>
    <xf numFmtId="0" fontId="0" fillId="3" borderId="1" xfId="0" applyFont="1" applyFill="1" applyBorder="1" applyAlignment="1" applyProtection="1">
      <protection locked="0"/>
    </xf>
    <xf numFmtId="164" fontId="4" fillId="3" borderId="1" xfId="1" applyFont="1" applyFill="1" applyBorder="1" applyAlignment="1" applyProtection="1">
      <protection locked="0"/>
    </xf>
    <xf numFmtId="164" fontId="4" fillId="3" borderId="1" xfId="1" applyFont="1" applyFill="1" applyBorder="1" applyAlignment="1" applyProtection="1">
      <alignment horizontal="right"/>
      <protection locked="0"/>
    </xf>
    <xf numFmtId="3" fontId="2" fillId="3" borderId="1" xfId="0" applyNumberFormat="1" applyFont="1" applyFill="1" applyBorder="1" applyAlignment="1" applyProtection="1">
      <protection locked="0"/>
    </xf>
    <xf numFmtId="165" fontId="5" fillId="0" borderId="1" xfId="0" applyNumberFormat="1" applyFont="1" applyBorder="1" applyAlignment="1" applyProtection="1"/>
    <xf numFmtId="167" fontId="0" fillId="3" borderId="1" xfId="1" applyNumberFormat="1" applyFont="1" applyFill="1" applyBorder="1" applyAlignment="1" applyProtection="1">
      <alignment horizontal="center" vertical="center"/>
      <protection locked="0"/>
    </xf>
    <xf numFmtId="2" fontId="0" fillId="0" borderId="1" xfId="0" applyNumberFormat="1" applyBorder="1" applyAlignment="1" applyProtection="1"/>
    <xf numFmtId="0" fontId="0" fillId="0" borderId="1" xfId="0" applyFont="1" applyBorder="1" applyAlignment="1" applyProtection="1">
      <alignment horizontal="center" wrapText="1"/>
    </xf>
    <xf numFmtId="0" fontId="0" fillId="0" borderId="1" xfId="0" applyFont="1" applyBorder="1" applyAlignment="1" applyProtection="1">
      <alignment horizontal="center" vertical="center"/>
    </xf>
    <xf numFmtId="0" fontId="0" fillId="0" borderId="1" xfId="0" applyFont="1" applyBorder="1" applyAlignment="1" applyProtection="1">
      <alignment horizontal="center" vertical="center" wrapText="1"/>
    </xf>
    <xf numFmtId="0" fontId="0" fillId="0" borderId="1" xfId="0" applyFont="1" applyBorder="1" applyAlignment="1" applyProtection="1">
      <alignment horizontal="center"/>
    </xf>
    <xf numFmtId="0" fontId="0" fillId="0" borderId="3" xfId="0" applyFont="1" applyBorder="1" applyAlignment="1" applyProtection="1">
      <alignment horizontal="center" wrapText="1"/>
    </xf>
    <xf numFmtId="0" fontId="0" fillId="0" borderId="3" xfId="0" applyFont="1" applyBorder="1" applyAlignment="1" applyProtection="1">
      <alignment horizontal="center" vertical="center" wrapText="1"/>
    </xf>
    <xf numFmtId="0" fontId="0" fillId="0" borderId="2" xfId="0" applyFont="1" applyBorder="1" applyAlignment="1" applyProtection="1">
      <alignment horizontal="center"/>
    </xf>
    <xf numFmtId="3" fontId="8" fillId="3" borderId="1" xfId="0" applyNumberFormat="1" applyFont="1" applyFill="1" applyBorder="1" applyAlignment="1" applyProtection="1">
      <protection locked="0"/>
    </xf>
    <xf numFmtId="164" fontId="9" fillId="0" borderId="1" xfId="1" applyFont="1" applyBorder="1" applyAlignment="1" applyProtection="1"/>
    <xf numFmtId="0" fontId="0" fillId="0" borderId="4" xfId="0" applyBorder="1" applyAlignment="1" applyProtection="1"/>
    <xf numFmtId="0" fontId="0" fillId="0" borderId="6" xfId="0" applyBorder="1" applyAlignment="1" applyProtection="1"/>
    <xf numFmtId="0" fontId="0" fillId="0" borderId="7" xfId="0" applyFont="1" applyBorder="1" applyAlignment="1" applyProtection="1">
      <alignment horizontal="center" wrapText="1"/>
    </xf>
    <xf numFmtId="167" fontId="0" fillId="3" borderId="3" xfId="1" applyNumberFormat="1" applyFont="1" applyFill="1" applyBorder="1" applyAlignment="1" applyProtection="1">
      <alignment horizontal="center" vertical="center"/>
      <protection locked="0"/>
    </xf>
    <xf numFmtId="0" fontId="7" fillId="4" borderId="1" xfId="0" applyFont="1" applyFill="1" applyBorder="1" applyAlignment="1">
      <alignment horizontal="center" vertical="center" wrapText="1"/>
    </xf>
    <xf numFmtId="0" fontId="10" fillId="3" borderId="1" xfId="0" applyFont="1" applyFill="1" applyBorder="1" applyAlignment="1" applyProtection="1">
      <protection locked="0"/>
    </xf>
    <xf numFmtId="164" fontId="11" fillId="0" borderId="1" xfId="1" applyFont="1" applyBorder="1" applyAlignment="1" applyProtection="1"/>
  </cellXfs>
  <cellStyles count="2">
    <cellStyle name="Normal" xfId="0" builtinId="0"/>
    <cellStyle name="Vírgula" xfId="1" builtinId="3"/>
  </cellStyles>
  <dxfs count="2">
    <dxf>
      <fill>
        <patternFill>
          <bgColor rgb="FFFF000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K221"/>
  <sheetViews>
    <sheetView tabSelected="1" zoomScaleNormal="100" workbookViewId="0">
      <pane xSplit="1" ySplit="4" topLeftCell="P5" activePane="bottomRight" state="frozen"/>
      <selection pane="topRight" activeCell="T1" sqref="T1"/>
      <selection pane="bottomLeft" activeCell="A5" sqref="A5"/>
      <selection pane="bottomRight" activeCell="S18" sqref="S18"/>
    </sheetView>
  </sheetViews>
  <sheetFormatPr defaultColWidth="8.7109375" defaultRowHeight="15" x14ac:dyDescent="0.25"/>
  <cols>
    <col min="1" max="1" width="7.5703125" style="1" customWidth="1"/>
    <col min="2" max="2" width="17.42578125" style="1" customWidth="1"/>
    <col min="3" max="5" width="10.42578125" style="1" customWidth="1"/>
    <col min="6" max="6" width="14.140625" style="1" customWidth="1"/>
    <col min="7" max="7" width="10.85546875" style="1" customWidth="1"/>
    <col min="8" max="8" width="12.85546875" style="1" customWidth="1"/>
    <col min="9" max="10" width="11.85546875" style="1" customWidth="1"/>
    <col min="11" max="11" width="15.28515625" style="1" customWidth="1"/>
    <col min="12" max="13" width="10.28515625" style="1" customWidth="1"/>
    <col min="14" max="15" width="10.140625" style="1" customWidth="1"/>
    <col min="16" max="28" width="9.28515625" style="1" customWidth="1"/>
    <col min="29" max="32" width="10.28515625" style="1" customWidth="1"/>
    <col min="33" max="33" width="4" style="1" customWidth="1"/>
    <col min="34" max="34" width="11.28515625" style="1" customWidth="1"/>
    <col min="35" max="35" width="3.7109375" style="1" customWidth="1"/>
    <col min="36" max="36" width="12.5703125" style="1" customWidth="1"/>
    <col min="37" max="37" width="3.42578125" style="1" customWidth="1"/>
    <col min="39" max="39" width="3.7109375" style="1" customWidth="1"/>
    <col min="40" max="40" width="13" style="1" customWidth="1"/>
    <col min="41" max="41" width="4" style="1" customWidth="1"/>
    <col min="42" max="42" width="12.7109375" style="1" customWidth="1"/>
    <col min="43" max="43" width="10" style="1" customWidth="1"/>
    <col min="44" max="44" width="12" style="1" customWidth="1"/>
    <col min="45" max="45" width="3.5703125" style="1" customWidth="1"/>
    <col min="46" max="46" width="9.5703125" style="1" customWidth="1"/>
    <col min="47" max="47" width="3.5703125" style="1" customWidth="1"/>
    <col min="48" max="48" width="5.5703125" style="1" customWidth="1"/>
    <col min="49" max="49" width="11.28515625" style="1" customWidth="1"/>
    <col min="50" max="50" width="3.5703125" style="1" customWidth="1"/>
    <col min="51" max="51" width="11.5703125" style="1" customWidth="1"/>
    <col min="52" max="52" width="13.28515625" style="1" customWidth="1"/>
    <col min="53" max="53" width="11.85546875" style="1" customWidth="1"/>
    <col min="54" max="54" width="3.5703125" style="1" customWidth="1"/>
    <col min="55" max="55" width="4.85546875" style="1" customWidth="1"/>
    <col min="56" max="57" width="11.5703125" style="1" customWidth="1"/>
    <col min="58" max="58" width="3.85546875" style="1" customWidth="1"/>
    <col min="59" max="59" width="15.140625" style="1" customWidth="1"/>
    <col min="60" max="60" width="10.28515625" style="1" customWidth="1"/>
    <col min="61" max="61" width="11.5703125" style="1" customWidth="1"/>
    <col min="63" max="63" width="11.5703125" style="1" customWidth="1"/>
  </cols>
  <sheetData>
    <row r="1" spans="1:63" ht="18.75" x14ac:dyDescent="0.3">
      <c r="AN1" s="2"/>
      <c r="AO1" s="2"/>
      <c r="AP1" s="2" t="str">
        <f>IF(AR221&gt;=8840,"SCT - Verificar Valor Final","")</f>
        <v>SCT - Verificar Valor Final</v>
      </c>
      <c r="AQ1" s="2"/>
      <c r="AR1" s="2"/>
      <c r="BG1" s="2" t="str">
        <f>IF(BI221&gt;=8840,"SCT - AVISAR JACQUE","")</f>
        <v/>
      </c>
    </row>
    <row r="2" spans="1:63" ht="15" customHeight="1" x14ac:dyDescent="0.25">
      <c r="A2" s="32" t="s">
        <v>0</v>
      </c>
      <c r="B2" s="32"/>
      <c r="C2" s="32"/>
      <c r="D2" s="32"/>
      <c r="E2" s="32"/>
      <c r="F2" s="32"/>
      <c r="G2" s="32"/>
      <c r="H2" s="32"/>
      <c r="I2" s="32"/>
      <c r="J2" s="32"/>
      <c r="K2" s="32"/>
      <c r="L2" s="32"/>
      <c r="M2" s="32"/>
      <c r="N2" s="32"/>
      <c r="O2" s="32"/>
      <c r="P2" s="32"/>
      <c r="Q2" s="32"/>
      <c r="R2" s="32"/>
      <c r="S2" s="32"/>
      <c r="T2" s="32"/>
      <c r="U2" s="32"/>
      <c r="V2" s="32"/>
      <c r="W2" s="32"/>
      <c r="X2" s="32"/>
      <c r="Y2" s="32"/>
      <c r="Z2" s="32"/>
      <c r="AA2" s="32"/>
      <c r="AB2" s="32"/>
      <c r="AC2" s="32"/>
      <c r="AD2" s="32"/>
      <c r="AE2" s="32"/>
      <c r="AF2" s="32"/>
      <c r="AH2" s="29" t="s">
        <v>1</v>
      </c>
      <c r="AJ2" s="29" t="s">
        <v>2</v>
      </c>
      <c r="AL2" s="29" t="s">
        <v>3</v>
      </c>
      <c r="AM2" s="4"/>
      <c r="AN2" s="29" t="s">
        <v>4</v>
      </c>
      <c r="AP2" s="29" t="s">
        <v>5</v>
      </c>
      <c r="AQ2" s="29"/>
      <c r="AR2" s="29"/>
      <c r="AT2" s="31" t="s">
        <v>6</v>
      </c>
      <c r="AV2" s="29" t="s">
        <v>7</v>
      </c>
      <c r="AW2" s="29"/>
      <c r="AY2" s="32" t="s">
        <v>8</v>
      </c>
      <c r="AZ2" s="32"/>
      <c r="BA2" s="32"/>
      <c r="BB2" s="32"/>
      <c r="BC2" s="32"/>
      <c r="BD2" s="32"/>
      <c r="BE2" s="32"/>
      <c r="BG2" s="32" t="s">
        <v>9</v>
      </c>
      <c r="BH2" s="32"/>
      <c r="BI2" s="32"/>
      <c r="BJ2" s="32"/>
      <c r="BK2" s="32"/>
    </row>
    <row r="3" spans="1:63" ht="15" customHeight="1" x14ac:dyDescent="0.25">
      <c r="A3" s="29" t="s">
        <v>10</v>
      </c>
      <c r="B3" s="29" t="s">
        <v>11</v>
      </c>
      <c r="C3" s="29" t="s">
        <v>12</v>
      </c>
      <c r="D3" s="31" t="s">
        <v>13</v>
      </c>
      <c r="E3" s="31" t="s">
        <v>14</v>
      </c>
      <c r="F3" s="35" t="s">
        <v>15</v>
      </c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  <c r="AE3" s="35"/>
      <c r="AF3" s="35"/>
      <c r="AH3" s="29"/>
      <c r="AJ3" s="29"/>
      <c r="AL3" s="29"/>
      <c r="AM3" s="4"/>
      <c r="AN3" s="29"/>
      <c r="AP3" s="29" t="s">
        <v>11</v>
      </c>
      <c r="AQ3" s="29" t="s">
        <v>12</v>
      </c>
      <c r="AR3" s="30" t="s">
        <v>16</v>
      </c>
      <c r="AT3" s="31"/>
      <c r="AV3" s="31" t="s">
        <v>17</v>
      </c>
      <c r="AW3" s="31" t="s">
        <v>16</v>
      </c>
      <c r="AY3" s="33" t="s">
        <v>18</v>
      </c>
      <c r="AZ3" s="33" t="s">
        <v>19</v>
      </c>
      <c r="BA3" s="34" t="s">
        <v>20</v>
      </c>
      <c r="BC3" s="34" t="s">
        <v>21</v>
      </c>
      <c r="BD3" s="34" t="s">
        <v>22</v>
      </c>
      <c r="BE3" s="34" t="s">
        <v>20</v>
      </c>
      <c r="BG3" s="29" t="s">
        <v>11</v>
      </c>
      <c r="BH3" s="29" t="s">
        <v>12</v>
      </c>
      <c r="BI3" s="30" t="s">
        <v>22</v>
      </c>
      <c r="BJ3" s="30" t="s">
        <v>23</v>
      </c>
      <c r="BK3" s="30" t="s">
        <v>20</v>
      </c>
    </row>
    <row r="4" spans="1:63" x14ac:dyDescent="0.25">
      <c r="A4" s="29"/>
      <c r="B4" s="29"/>
      <c r="C4" s="29"/>
      <c r="D4" s="31"/>
      <c r="E4" s="31"/>
      <c r="F4" s="3" t="s">
        <v>24</v>
      </c>
      <c r="G4" s="3" t="s">
        <v>25</v>
      </c>
      <c r="H4" s="3" t="s">
        <v>26</v>
      </c>
      <c r="I4" s="3" t="s">
        <v>27</v>
      </c>
      <c r="J4" s="3" t="s">
        <v>28</v>
      </c>
      <c r="K4" s="3" t="s">
        <v>29</v>
      </c>
      <c r="L4" s="5" t="s">
        <v>30</v>
      </c>
      <c r="M4" s="5" t="s">
        <v>31</v>
      </c>
      <c r="N4" s="3" t="s">
        <v>32</v>
      </c>
      <c r="O4" s="3" t="s">
        <v>33</v>
      </c>
      <c r="P4" s="3" t="s">
        <v>34</v>
      </c>
      <c r="Q4" s="3" t="s">
        <v>35</v>
      </c>
      <c r="R4" s="3" t="s">
        <v>36</v>
      </c>
      <c r="S4" s="3" t="s">
        <v>37</v>
      </c>
      <c r="T4" s="3" t="s">
        <v>38</v>
      </c>
      <c r="U4" s="3" t="s">
        <v>39</v>
      </c>
      <c r="V4" s="3" t="s">
        <v>40</v>
      </c>
      <c r="W4" s="3" t="s">
        <v>41</v>
      </c>
      <c r="X4" s="3" t="s">
        <v>42</v>
      </c>
      <c r="Y4" s="3" t="s">
        <v>43</v>
      </c>
      <c r="Z4" s="3" t="s">
        <v>44</v>
      </c>
      <c r="AA4" s="3" t="s">
        <v>45</v>
      </c>
      <c r="AB4" s="3" t="s">
        <v>46</v>
      </c>
      <c r="AC4" s="3" t="s">
        <v>47</v>
      </c>
      <c r="AD4" s="3" t="s">
        <v>48</v>
      </c>
      <c r="AE4" s="3" t="s">
        <v>49</v>
      </c>
      <c r="AF4" s="3" t="s">
        <v>50</v>
      </c>
      <c r="AH4" s="29"/>
      <c r="AJ4" s="29"/>
      <c r="AK4" s="6"/>
      <c r="AL4" s="40"/>
      <c r="AM4" s="7"/>
      <c r="AN4" s="29"/>
      <c r="AP4" s="29"/>
      <c r="AQ4" s="29"/>
      <c r="AR4" s="30"/>
      <c r="AT4" s="31"/>
      <c r="AV4" s="31"/>
      <c r="AW4" s="31"/>
      <c r="AY4" s="33"/>
      <c r="AZ4" s="33"/>
      <c r="BA4" s="34"/>
      <c r="BC4" s="34"/>
      <c r="BD4" s="34"/>
      <c r="BE4" s="34"/>
      <c r="BG4" s="29"/>
      <c r="BH4" s="29"/>
      <c r="BI4" s="30"/>
      <c r="BJ4" s="30"/>
      <c r="BK4" s="30"/>
    </row>
    <row r="5" spans="1:63" x14ac:dyDescent="0.25">
      <c r="A5" s="8">
        <v>1</v>
      </c>
      <c r="B5" s="9">
        <v>59000</v>
      </c>
      <c r="C5" s="10">
        <v>449052</v>
      </c>
      <c r="D5" s="10">
        <v>753</v>
      </c>
      <c r="E5" s="10">
        <v>613957</v>
      </c>
      <c r="F5" s="11">
        <v>1238.5999999999999</v>
      </c>
      <c r="G5" s="12">
        <v>1471</v>
      </c>
      <c r="H5" s="12">
        <v>1382.27</v>
      </c>
      <c r="I5" s="12">
        <v>2236</v>
      </c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H5" s="14">
        <f t="shared" ref="AH5:AH68" si="0">IF(SUM(F5:AF5)&gt;0,ROUND(AVERAGE(F5:AF5),4),0)</f>
        <v>1581.9675</v>
      </c>
      <c r="AJ5" s="15">
        <v>1581.96</v>
      </c>
      <c r="AK5" s="38"/>
      <c r="AL5" s="42">
        <v>1</v>
      </c>
      <c r="AM5" s="39"/>
      <c r="AN5" s="17">
        <f t="shared" ref="AN5:AN68" si="1">IF(AJ5&gt;0,AJ5,AH5)*AL5</f>
        <v>1581.96</v>
      </c>
      <c r="AP5" s="18">
        <f t="array" ref="AP5:AQ10">_xlfn.UNIQUE(B5:C216)</f>
        <v>59000</v>
      </c>
      <c r="AQ5" s="10">
        <v>449052</v>
      </c>
      <c r="AR5" s="37">
        <f t="shared" ref="AR5:AR68" si="2">IF(AP5="",0,IF(AQ5="",SUMIF($B$5:$B$220,"="&amp;AP5,$AN$5:$AN$220),SUMIFS($AN$5:$AN$220, $B$5:$B$220, "="&amp;AP5, $C$5:$C$220,"="&amp;AQ5)))</f>
        <v>53044.859999999993</v>
      </c>
      <c r="AT5" s="19"/>
      <c r="AV5" s="10"/>
      <c r="AW5" s="17">
        <f t="shared" ref="AW5:AW68" si="3">IF(AV5="",0,SUMIF($AT$5:$AT$220,"="&amp;AV5,$AN$5:$AN$220))</f>
        <v>0</v>
      </c>
      <c r="AY5" s="13"/>
      <c r="AZ5" s="17">
        <f t="shared" ref="AZ5:AZ68" si="4">AY5*AL5</f>
        <v>0</v>
      </c>
      <c r="BA5" s="20">
        <f t="shared" ref="BA5:BA68" si="5">IF(AN5&gt;0,IF(AZ5&gt;=0,AZ5-AN5,0),0)</f>
        <v>-1581.96</v>
      </c>
      <c r="BC5" s="10">
        <f t="shared" ref="BC5:BC31" si="6">AV5</f>
        <v>0</v>
      </c>
      <c r="BD5" s="17">
        <f t="shared" ref="BD5:BD31" si="7">IF(BC5="","",SUMIF($AT$5:$AT$220,"="&amp;BC5,$AZ$5:$AZ$220))</f>
        <v>0</v>
      </c>
      <c r="BE5" s="17">
        <f t="shared" ref="BE5:BE31" si="8">IF(AW5&gt;=0,IF(BD5&gt;=0,AW5-BD5,0),0)</f>
        <v>0</v>
      </c>
      <c r="BG5" s="18">
        <f>AP5</f>
        <v>59000</v>
      </c>
      <c r="BH5" s="10">
        <f>AQ5</f>
        <v>449052</v>
      </c>
      <c r="BI5" s="17">
        <f t="shared" ref="BI5:BI43" si="9">IF(BG5="","",IF(BH5="",SUMIF($B$5:$B$220,"="&amp;BG5,$AZ$5:$AZ$220),SUMIFS($AZ$5:$AZ$220, $B$5:$B$220, "="&amp;BG5, $C$5:$C$220,"="&amp;BH5)))</f>
        <v>0</v>
      </c>
      <c r="BJ5" s="21" t="str">
        <f t="shared" ref="BJ5:BJ68" si="10">IF(BK5&gt;0,"anular",IF(BK5&lt;0,"reforçar","nenhuma"))</f>
        <v>anular</v>
      </c>
      <c r="BK5" s="17">
        <f t="shared" ref="BK5:BK43" si="11">IF(AR5&gt;0,IF(BI5&gt;=0,AR5-BI5,0),0)</f>
        <v>53044.859999999993</v>
      </c>
    </row>
    <row r="6" spans="1:63" x14ac:dyDescent="0.25">
      <c r="A6" s="8">
        <v>2</v>
      </c>
      <c r="B6" s="9">
        <v>59000</v>
      </c>
      <c r="C6" s="10">
        <v>449052</v>
      </c>
      <c r="D6" s="10">
        <v>753</v>
      </c>
      <c r="E6" s="10">
        <v>608434</v>
      </c>
      <c r="F6" s="11">
        <v>632.69000000000005</v>
      </c>
      <c r="G6" s="13"/>
      <c r="H6" s="13"/>
      <c r="I6" s="12">
        <v>849.8</v>
      </c>
      <c r="J6" s="12">
        <v>644.67999999999995</v>
      </c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H6" s="14">
        <f t="shared" si="0"/>
        <v>709.05669999999998</v>
      </c>
      <c r="AJ6" s="15">
        <v>709.05</v>
      </c>
      <c r="AK6" s="38"/>
      <c r="AL6" s="42">
        <v>2</v>
      </c>
      <c r="AM6" s="39"/>
      <c r="AN6" s="17">
        <f t="shared" si="1"/>
        <v>1418.1</v>
      </c>
      <c r="AP6" s="18">
        <v>59000</v>
      </c>
      <c r="AQ6" s="10">
        <v>339030</v>
      </c>
      <c r="AR6" s="37">
        <f t="shared" si="2"/>
        <v>4196.1400000000003</v>
      </c>
      <c r="AT6" s="19"/>
      <c r="AV6" s="10"/>
      <c r="AW6" s="17">
        <f t="shared" si="3"/>
        <v>0</v>
      </c>
      <c r="AY6" s="13"/>
      <c r="AZ6" s="17">
        <f t="shared" si="4"/>
        <v>0</v>
      </c>
      <c r="BA6" s="20">
        <f t="shared" si="5"/>
        <v>-1418.1</v>
      </c>
      <c r="BC6" s="10">
        <f t="shared" si="6"/>
        <v>0</v>
      </c>
      <c r="BD6" s="17">
        <f t="shared" si="7"/>
        <v>0</v>
      </c>
      <c r="BE6" s="17">
        <f t="shared" si="8"/>
        <v>0</v>
      </c>
      <c r="BG6" s="18">
        <f t="shared" ref="BG6:BG28" si="12">AP6</f>
        <v>59000</v>
      </c>
      <c r="BH6" s="10">
        <f t="shared" ref="BH6:BH27" si="13">AQ6</f>
        <v>339030</v>
      </c>
      <c r="BI6" s="17">
        <f t="shared" si="9"/>
        <v>0</v>
      </c>
      <c r="BJ6" s="21" t="str">
        <f t="shared" si="10"/>
        <v>anular</v>
      </c>
      <c r="BK6" s="17">
        <f t="shared" si="11"/>
        <v>4196.1400000000003</v>
      </c>
    </row>
    <row r="7" spans="1:63" x14ac:dyDescent="0.25">
      <c r="A7" s="8">
        <v>3</v>
      </c>
      <c r="B7" s="9">
        <v>59000</v>
      </c>
      <c r="C7" s="22">
        <v>339030</v>
      </c>
      <c r="D7" s="10">
        <v>753</v>
      </c>
      <c r="E7" s="10">
        <v>463063</v>
      </c>
      <c r="F7" s="11">
        <v>317.44</v>
      </c>
      <c r="G7" s="13"/>
      <c r="H7" s="13"/>
      <c r="I7" s="12">
        <v>560</v>
      </c>
      <c r="J7" s="13"/>
      <c r="K7" s="12">
        <v>399</v>
      </c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H7" s="14">
        <f t="shared" si="0"/>
        <v>425.48</v>
      </c>
      <c r="AJ7" s="15">
        <v>425.48</v>
      </c>
      <c r="AK7" s="38"/>
      <c r="AL7" s="42">
        <v>2</v>
      </c>
      <c r="AM7" s="39"/>
      <c r="AN7" s="17">
        <f t="shared" si="1"/>
        <v>850.96</v>
      </c>
      <c r="AP7" s="36" t="str">
        <v>59.000RECEITA</v>
      </c>
      <c r="AQ7" s="43">
        <v>449052</v>
      </c>
      <c r="AR7" s="44">
        <f t="shared" si="2"/>
        <v>3248.45</v>
      </c>
      <c r="AT7" s="19"/>
      <c r="AV7" s="10"/>
      <c r="AW7" s="17">
        <f t="shared" si="3"/>
        <v>0</v>
      </c>
      <c r="AY7" s="13"/>
      <c r="AZ7" s="17">
        <f t="shared" si="4"/>
        <v>0</v>
      </c>
      <c r="BA7" s="20">
        <f t="shared" si="5"/>
        <v>-850.96</v>
      </c>
      <c r="BC7" s="10">
        <f t="shared" si="6"/>
        <v>0</v>
      </c>
      <c r="BD7" s="17">
        <f t="shared" si="7"/>
        <v>0</v>
      </c>
      <c r="BE7" s="17">
        <f t="shared" si="8"/>
        <v>0</v>
      </c>
      <c r="BG7" s="18" t="str">
        <f t="shared" si="12"/>
        <v>59.000RECEITA</v>
      </c>
      <c r="BH7" s="10">
        <f t="shared" si="13"/>
        <v>449052</v>
      </c>
      <c r="BI7" s="17">
        <f t="shared" si="9"/>
        <v>0</v>
      </c>
      <c r="BJ7" s="21" t="str">
        <f t="shared" si="10"/>
        <v>anular</v>
      </c>
      <c r="BK7" s="17">
        <f t="shared" si="11"/>
        <v>3248.45</v>
      </c>
    </row>
    <row r="8" spans="1:63" x14ac:dyDescent="0.25">
      <c r="A8" s="8">
        <v>4</v>
      </c>
      <c r="B8" s="18">
        <v>59000</v>
      </c>
      <c r="C8" s="10">
        <v>449052</v>
      </c>
      <c r="D8" s="10">
        <v>753</v>
      </c>
      <c r="E8" s="10">
        <v>302697</v>
      </c>
      <c r="F8" s="11">
        <v>3704.26</v>
      </c>
      <c r="G8" s="13"/>
      <c r="H8" s="13"/>
      <c r="I8" s="12">
        <v>4850</v>
      </c>
      <c r="J8" s="12">
        <v>4248.8999999999996</v>
      </c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H8" s="14">
        <f t="shared" si="0"/>
        <v>4267.72</v>
      </c>
      <c r="AJ8" s="15">
        <v>4267.72</v>
      </c>
      <c r="AK8" s="38"/>
      <c r="AL8" s="42">
        <v>4</v>
      </c>
      <c r="AM8" s="39"/>
      <c r="AN8" s="17">
        <f t="shared" si="1"/>
        <v>17070.88</v>
      </c>
      <c r="AP8" s="18">
        <v>59406</v>
      </c>
      <c r="AQ8" s="10">
        <v>449052</v>
      </c>
      <c r="AR8" s="37">
        <f t="shared" si="2"/>
        <v>43093.35</v>
      </c>
      <c r="AT8" s="19"/>
      <c r="AV8" s="10"/>
      <c r="AW8" s="17">
        <f t="shared" si="3"/>
        <v>0</v>
      </c>
      <c r="AY8" s="13"/>
      <c r="AZ8" s="17">
        <f t="shared" si="4"/>
        <v>0</v>
      </c>
      <c r="BA8" s="20">
        <f t="shared" si="5"/>
        <v>-17070.88</v>
      </c>
      <c r="BC8" s="10">
        <f t="shared" si="6"/>
        <v>0</v>
      </c>
      <c r="BD8" s="17">
        <f t="shared" si="7"/>
        <v>0</v>
      </c>
      <c r="BE8" s="17">
        <f t="shared" si="8"/>
        <v>0</v>
      </c>
      <c r="BG8" s="18">
        <f t="shared" si="12"/>
        <v>59406</v>
      </c>
      <c r="BH8" s="10">
        <f t="shared" si="13"/>
        <v>449052</v>
      </c>
      <c r="BI8" s="17">
        <f t="shared" si="9"/>
        <v>0</v>
      </c>
      <c r="BJ8" s="21" t="str">
        <f t="shared" si="10"/>
        <v>anular</v>
      </c>
      <c r="BK8" s="17">
        <f t="shared" si="11"/>
        <v>43093.35</v>
      </c>
    </row>
    <row r="9" spans="1:63" x14ac:dyDescent="0.25">
      <c r="A9" s="8">
        <v>5</v>
      </c>
      <c r="B9" s="18">
        <v>59000</v>
      </c>
      <c r="C9" s="10">
        <v>449052</v>
      </c>
      <c r="D9" s="10">
        <v>753</v>
      </c>
      <c r="E9" s="10">
        <v>613924</v>
      </c>
      <c r="F9" s="12">
        <v>741.9</v>
      </c>
      <c r="G9" s="13"/>
      <c r="H9" s="13"/>
      <c r="I9" s="12">
        <v>1250</v>
      </c>
      <c r="J9" s="23">
        <v>737.66</v>
      </c>
      <c r="K9" s="13"/>
      <c r="L9" s="12">
        <v>949.9</v>
      </c>
      <c r="M9" s="12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H9" s="26">
        <f t="shared" si="0"/>
        <v>919.86500000000001</v>
      </c>
      <c r="AJ9" s="15">
        <v>919.61</v>
      </c>
      <c r="AK9" s="38"/>
      <c r="AL9" s="42">
        <v>4</v>
      </c>
      <c r="AM9" s="39"/>
      <c r="AN9" s="17">
        <f t="shared" si="1"/>
        <v>3678.44</v>
      </c>
      <c r="AP9" s="18">
        <v>59057</v>
      </c>
      <c r="AQ9" s="10">
        <v>449052</v>
      </c>
      <c r="AR9" s="37">
        <f t="shared" si="2"/>
        <v>4761.1499999999996</v>
      </c>
      <c r="AT9" s="19"/>
      <c r="AV9" s="10"/>
      <c r="AW9" s="17">
        <f t="shared" si="3"/>
        <v>0</v>
      </c>
      <c r="AY9" s="13"/>
      <c r="AZ9" s="17">
        <f t="shared" si="4"/>
        <v>0</v>
      </c>
      <c r="BA9" s="20">
        <f t="shared" si="5"/>
        <v>-3678.44</v>
      </c>
      <c r="BC9" s="10">
        <f t="shared" si="6"/>
        <v>0</v>
      </c>
      <c r="BD9" s="17">
        <f t="shared" si="7"/>
        <v>0</v>
      </c>
      <c r="BE9" s="17">
        <f t="shared" si="8"/>
        <v>0</v>
      </c>
      <c r="BG9" s="18">
        <f t="shared" si="12"/>
        <v>59057</v>
      </c>
      <c r="BH9" s="10">
        <f t="shared" si="13"/>
        <v>449052</v>
      </c>
      <c r="BI9" s="17">
        <f t="shared" si="9"/>
        <v>0</v>
      </c>
      <c r="BJ9" s="21" t="str">
        <f t="shared" si="10"/>
        <v>anular</v>
      </c>
      <c r="BK9" s="17">
        <f t="shared" si="11"/>
        <v>4761.1499999999996</v>
      </c>
    </row>
    <row r="10" spans="1:63" x14ac:dyDescent="0.25">
      <c r="A10" s="8">
        <v>6</v>
      </c>
      <c r="B10" s="18">
        <v>59000</v>
      </c>
      <c r="C10" s="10">
        <v>449052</v>
      </c>
      <c r="D10" s="10">
        <v>753</v>
      </c>
      <c r="E10" s="10">
        <v>601702</v>
      </c>
      <c r="F10" s="12">
        <v>2428.96</v>
      </c>
      <c r="G10" s="13"/>
      <c r="H10" s="13"/>
      <c r="I10" s="12">
        <v>3850</v>
      </c>
      <c r="J10" s="13"/>
      <c r="K10" s="12">
        <v>2619.0100000000002</v>
      </c>
      <c r="L10" s="12">
        <v>3958</v>
      </c>
      <c r="M10" s="12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H10" s="14">
        <f t="shared" si="0"/>
        <v>3213.9924999999998</v>
      </c>
      <c r="AJ10" s="15">
        <v>3213.99</v>
      </c>
      <c r="AK10" s="38"/>
      <c r="AL10" s="42">
        <v>3</v>
      </c>
      <c r="AM10" s="39"/>
      <c r="AN10" s="17">
        <f t="shared" si="1"/>
        <v>9641.9699999999993</v>
      </c>
      <c r="AP10" s="18">
        <v>0</v>
      </c>
      <c r="AQ10" s="10">
        <v>0</v>
      </c>
      <c r="AR10" s="17">
        <f t="shared" si="2"/>
        <v>0</v>
      </c>
      <c r="AT10" s="19"/>
      <c r="AV10" s="10"/>
      <c r="AW10" s="17">
        <f t="shared" si="3"/>
        <v>0</v>
      </c>
      <c r="AY10" s="13"/>
      <c r="AZ10" s="17">
        <f t="shared" si="4"/>
        <v>0</v>
      </c>
      <c r="BA10" s="20">
        <f t="shared" si="5"/>
        <v>-9641.9699999999993</v>
      </c>
      <c r="BC10" s="10">
        <f t="shared" si="6"/>
        <v>0</v>
      </c>
      <c r="BD10" s="17">
        <f t="shared" si="7"/>
        <v>0</v>
      </c>
      <c r="BE10" s="17">
        <f t="shared" si="8"/>
        <v>0</v>
      </c>
      <c r="BG10" s="18">
        <f t="shared" si="12"/>
        <v>0</v>
      </c>
      <c r="BH10" s="10">
        <f t="shared" si="13"/>
        <v>0</v>
      </c>
      <c r="BI10" s="17">
        <f t="shared" si="9"/>
        <v>0</v>
      </c>
      <c r="BJ10" s="21" t="str">
        <f t="shared" si="10"/>
        <v>nenhuma</v>
      </c>
      <c r="BK10" s="17">
        <f t="shared" si="11"/>
        <v>0</v>
      </c>
    </row>
    <row r="11" spans="1:63" x14ac:dyDescent="0.25">
      <c r="A11" s="8">
        <v>7</v>
      </c>
      <c r="B11" s="18">
        <v>59000</v>
      </c>
      <c r="C11" s="10">
        <v>449052</v>
      </c>
      <c r="D11" s="10">
        <v>753</v>
      </c>
      <c r="E11" s="10">
        <v>397053</v>
      </c>
      <c r="F11" s="12">
        <v>429.7</v>
      </c>
      <c r="G11" s="13"/>
      <c r="H11" s="13"/>
      <c r="I11" s="12">
        <v>580</v>
      </c>
      <c r="J11" s="13"/>
      <c r="K11" s="13"/>
      <c r="L11" s="13"/>
      <c r="M11" s="13"/>
      <c r="N11" s="12">
        <v>330.01</v>
      </c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H11" s="14">
        <f t="shared" si="0"/>
        <v>446.57</v>
      </c>
      <c r="AJ11" s="15">
        <v>446.57</v>
      </c>
      <c r="AK11" s="38"/>
      <c r="AL11" s="42">
        <v>4</v>
      </c>
      <c r="AM11" s="39"/>
      <c r="AN11" s="17">
        <f t="shared" si="1"/>
        <v>1786.28</v>
      </c>
      <c r="AP11" s="18"/>
      <c r="AQ11" s="10"/>
      <c r="AR11" s="17">
        <f t="shared" si="2"/>
        <v>0</v>
      </c>
      <c r="AT11" s="19"/>
      <c r="AV11" s="10"/>
      <c r="AW11" s="17">
        <f t="shared" si="3"/>
        <v>0</v>
      </c>
      <c r="AY11" s="13"/>
      <c r="AZ11" s="17">
        <f t="shared" si="4"/>
        <v>0</v>
      </c>
      <c r="BA11" s="20">
        <f t="shared" si="5"/>
        <v>-1786.28</v>
      </c>
      <c r="BC11" s="10">
        <f t="shared" si="6"/>
        <v>0</v>
      </c>
      <c r="BD11" s="17">
        <f t="shared" si="7"/>
        <v>0</v>
      </c>
      <c r="BE11" s="17">
        <f t="shared" si="8"/>
        <v>0</v>
      </c>
      <c r="BG11" s="18">
        <f t="shared" si="12"/>
        <v>0</v>
      </c>
      <c r="BH11" s="10">
        <f t="shared" si="13"/>
        <v>0</v>
      </c>
      <c r="BI11" s="17">
        <f t="shared" si="9"/>
        <v>0</v>
      </c>
      <c r="BJ11" s="21" t="str">
        <f t="shared" si="10"/>
        <v>nenhuma</v>
      </c>
      <c r="BK11" s="17">
        <f t="shared" si="11"/>
        <v>0</v>
      </c>
    </row>
    <row r="12" spans="1:63" x14ac:dyDescent="0.25">
      <c r="A12" s="8">
        <v>8</v>
      </c>
      <c r="B12" s="18">
        <v>59000</v>
      </c>
      <c r="C12" s="10">
        <v>339030</v>
      </c>
      <c r="D12" s="10">
        <v>753</v>
      </c>
      <c r="E12" s="10">
        <v>474488</v>
      </c>
      <c r="F12" s="11">
        <v>107.47</v>
      </c>
      <c r="G12" s="13"/>
      <c r="H12" s="13"/>
      <c r="I12" s="12">
        <v>155.80000000000001</v>
      </c>
      <c r="J12" s="13"/>
      <c r="K12" s="12">
        <v>69.900000000000006</v>
      </c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H12" s="14">
        <f t="shared" si="0"/>
        <v>111.05670000000001</v>
      </c>
      <c r="AJ12" s="15">
        <v>111.05</v>
      </c>
      <c r="AK12" s="38"/>
      <c r="AL12" s="42">
        <v>4</v>
      </c>
      <c r="AM12" s="39"/>
      <c r="AN12" s="17">
        <f t="shared" si="1"/>
        <v>444.2</v>
      </c>
      <c r="AP12" s="18"/>
      <c r="AQ12" s="10"/>
      <c r="AR12" s="17">
        <f t="shared" si="2"/>
        <v>0</v>
      </c>
      <c r="AT12" s="19"/>
      <c r="AV12" s="10"/>
      <c r="AW12" s="17">
        <f t="shared" si="3"/>
        <v>0</v>
      </c>
      <c r="AY12" s="13"/>
      <c r="AZ12" s="17">
        <f t="shared" si="4"/>
        <v>0</v>
      </c>
      <c r="BA12" s="20">
        <f t="shared" si="5"/>
        <v>-444.2</v>
      </c>
      <c r="BC12" s="10">
        <f t="shared" si="6"/>
        <v>0</v>
      </c>
      <c r="BD12" s="17">
        <f t="shared" si="7"/>
        <v>0</v>
      </c>
      <c r="BE12" s="17">
        <f t="shared" si="8"/>
        <v>0</v>
      </c>
      <c r="BG12" s="18">
        <f t="shared" si="12"/>
        <v>0</v>
      </c>
      <c r="BH12" s="10">
        <f t="shared" si="13"/>
        <v>0</v>
      </c>
      <c r="BI12" s="17">
        <f t="shared" si="9"/>
        <v>0</v>
      </c>
      <c r="BJ12" s="21" t="str">
        <f t="shared" si="10"/>
        <v>nenhuma</v>
      </c>
      <c r="BK12" s="17">
        <f t="shared" si="11"/>
        <v>0</v>
      </c>
    </row>
    <row r="13" spans="1:63" x14ac:dyDescent="0.25">
      <c r="A13" s="8">
        <v>9</v>
      </c>
      <c r="B13" s="18">
        <v>59000</v>
      </c>
      <c r="C13" s="10">
        <v>339030</v>
      </c>
      <c r="D13" s="10">
        <v>753</v>
      </c>
      <c r="E13" s="10">
        <v>628028</v>
      </c>
      <c r="F13" s="11">
        <v>165.03</v>
      </c>
      <c r="G13" s="13"/>
      <c r="H13" s="13"/>
      <c r="I13" s="12">
        <v>132</v>
      </c>
      <c r="J13" s="13"/>
      <c r="K13" s="12">
        <v>120</v>
      </c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H13" s="14">
        <f t="shared" si="0"/>
        <v>139.01</v>
      </c>
      <c r="AJ13" s="15">
        <v>139.01</v>
      </c>
      <c r="AK13" s="38"/>
      <c r="AL13" s="42">
        <v>3</v>
      </c>
      <c r="AM13" s="39"/>
      <c r="AN13" s="17">
        <f t="shared" si="1"/>
        <v>417.03</v>
      </c>
      <c r="AP13" s="18"/>
      <c r="AQ13" s="10"/>
      <c r="AR13" s="17">
        <f t="shared" si="2"/>
        <v>0</v>
      </c>
      <c r="AT13" s="19"/>
      <c r="AV13" s="10"/>
      <c r="AW13" s="17">
        <f t="shared" si="3"/>
        <v>0</v>
      </c>
      <c r="AY13" s="13"/>
      <c r="AZ13" s="17">
        <f t="shared" si="4"/>
        <v>0</v>
      </c>
      <c r="BA13" s="20">
        <f t="shared" si="5"/>
        <v>-417.03</v>
      </c>
      <c r="BC13" s="10">
        <f t="shared" si="6"/>
        <v>0</v>
      </c>
      <c r="BD13" s="17">
        <f t="shared" si="7"/>
        <v>0</v>
      </c>
      <c r="BE13" s="17">
        <f t="shared" si="8"/>
        <v>0</v>
      </c>
      <c r="BG13" s="18">
        <f t="shared" si="12"/>
        <v>0</v>
      </c>
      <c r="BH13" s="10">
        <f t="shared" si="13"/>
        <v>0</v>
      </c>
      <c r="BI13" s="17">
        <f t="shared" si="9"/>
        <v>0</v>
      </c>
      <c r="BJ13" s="21" t="str">
        <f t="shared" si="10"/>
        <v>nenhuma</v>
      </c>
      <c r="BK13" s="17">
        <f t="shared" si="11"/>
        <v>0</v>
      </c>
    </row>
    <row r="14" spans="1:63" x14ac:dyDescent="0.25">
      <c r="A14" s="8">
        <v>10</v>
      </c>
      <c r="B14" s="18">
        <v>59000</v>
      </c>
      <c r="C14" s="10">
        <v>449052</v>
      </c>
      <c r="D14" s="10">
        <v>1431</v>
      </c>
      <c r="E14" s="10">
        <v>607297</v>
      </c>
      <c r="F14" s="11">
        <v>218.74</v>
      </c>
      <c r="G14" s="13"/>
      <c r="H14" s="13"/>
      <c r="I14" s="12">
        <v>235.9</v>
      </c>
      <c r="J14" s="13"/>
      <c r="K14" s="13"/>
      <c r="L14" s="12">
        <v>288.60000000000002</v>
      </c>
      <c r="M14" s="12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H14" s="14">
        <f t="shared" si="0"/>
        <v>247.7467</v>
      </c>
      <c r="AJ14" s="15">
        <v>247.74</v>
      </c>
      <c r="AK14" s="38"/>
      <c r="AL14" s="42">
        <v>2</v>
      </c>
      <c r="AM14" s="39"/>
      <c r="AN14" s="17">
        <f t="shared" si="1"/>
        <v>495.48</v>
      </c>
      <c r="AP14" s="18"/>
      <c r="AQ14" s="10"/>
      <c r="AR14" s="17">
        <f t="shared" si="2"/>
        <v>0</v>
      </c>
      <c r="AT14" s="19"/>
      <c r="AV14" s="10"/>
      <c r="AW14" s="17">
        <f t="shared" si="3"/>
        <v>0</v>
      </c>
      <c r="AY14" s="13"/>
      <c r="AZ14" s="17">
        <f t="shared" si="4"/>
        <v>0</v>
      </c>
      <c r="BA14" s="20">
        <f t="shared" si="5"/>
        <v>-495.48</v>
      </c>
      <c r="BC14" s="10">
        <f t="shared" si="6"/>
        <v>0</v>
      </c>
      <c r="BD14" s="17">
        <f t="shared" si="7"/>
        <v>0</v>
      </c>
      <c r="BE14" s="17">
        <f t="shared" si="8"/>
        <v>0</v>
      </c>
      <c r="BG14" s="18">
        <f t="shared" si="12"/>
        <v>0</v>
      </c>
      <c r="BH14" s="10">
        <f t="shared" si="13"/>
        <v>0</v>
      </c>
      <c r="BI14" s="17">
        <f t="shared" si="9"/>
        <v>0</v>
      </c>
      <c r="BJ14" s="21" t="str">
        <f t="shared" si="10"/>
        <v>nenhuma</v>
      </c>
      <c r="BK14" s="17">
        <f t="shared" si="11"/>
        <v>0</v>
      </c>
    </row>
    <row r="15" spans="1:63" x14ac:dyDescent="0.25">
      <c r="A15" s="8">
        <v>11</v>
      </c>
      <c r="B15" s="18">
        <v>59000</v>
      </c>
      <c r="C15" s="10">
        <v>449052</v>
      </c>
      <c r="D15" s="10">
        <v>2195</v>
      </c>
      <c r="E15" s="10">
        <v>618961</v>
      </c>
      <c r="F15" s="24">
        <v>1876.25</v>
      </c>
      <c r="G15" s="13"/>
      <c r="H15" s="13"/>
      <c r="I15" s="12">
        <v>2200</v>
      </c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H15" s="14">
        <f t="shared" si="0"/>
        <v>2038.125</v>
      </c>
      <c r="AJ15" s="15">
        <v>2038.12</v>
      </c>
      <c r="AK15" s="38"/>
      <c r="AL15" s="42">
        <v>1</v>
      </c>
      <c r="AM15" s="39"/>
      <c r="AN15" s="17">
        <f t="shared" si="1"/>
        <v>2038.12</v>
      </c>
      <c r="AP15" s="18"/>
      <c r="AQ15" s="10"/>
      <c r="AR15" s="17">
        <f t="shared" si="2"/>
        <v>0</v>
      </c>
      <c r="AT15" s="19"/>
      <c r="AV15" s="10"/>
      <c r="AW15" s="17">
        <f t="shared" si="3"/>
        <v>0</v>
      </c>
      <c r="AY15" s="13"/>
      <c r="AZ15" s="17">
        <f t="shared" si="4"/>
        <v>0</v>
      </c>
      <c r="BA15" s="20">
        <f t="shared" si="5"/>
        <v>-2038.12</v>
      </c>
      <c r="BC15" s="10">
        <f t="shared" si="6"/>
        <v>0</v>
      </c>
      <c r="BD15" s="17">
        <f t="shared" si="7"/>
        <v>0</v>
      </c>
      <c r="BE15" s="17">
        <f t="shared" si="8"/>
        <v>0</v>
      </c>
      <c r="BG15" s="18">
        <f t="shared" si="12"/>
        <v>0</v>
      </c>
      <c r="BH15" s="10">
        <f t="shared" si="13"/>
        <v>0</v>
      </c>
      <c r="BI15" s="17">
        <f t="shared" si="9"/>
        <v>0</v>
      </c>
      <c r="BJ15" s="21" t="str">
        <f t="shared" si="10"/>
        <v>nenhuma</v>
      </c>
      <c r="BK15" s="17">
        <f t="shared" si="11"/>
        <v>0</v>
      </c>
    </row>
    <row r="16" spans="1:63" x14ac:dyDescent="0.25">
      <c r="A16" s="8">
        <v>12</v>
      </c>
      <c r="B16" s="18">
        <v>59000</v>
      </c>
      <c r="C16" s="10">
        <v>449052</v>
      </c>
      <c r="D16" s="10">
        <v>3582</v>
      </c>
      <c r="E16" s="10">
        <v>617471</v>
      </c>
      <c r="F16" s="11">
        <v>732.16</v>
      </c>
      <c r="G16" s="13"/>
      <c r="H16" s="13"/>
      <c r="I16" s="12">
        <v>849</v>
      </c>
      <c r="J16" s="13"/>
      <c r="K16" s="13"/>
      <c r="L16" s="12">
        <v>611.58000000000004</v>
      </c>
      <c r="M16" s="12"/>
      <c r="N16" s="13"/>
      <c r="O16" s="12">
        <v>689.9</v>
      </c>
      <c r="P16" s="12">
        <v>710.99</v>
      </c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H16" s="14">
        <f t="shared" si="0"/>
        <v>718.726</v>
      </c>
      <c r="AJ16" s="15">
        <v>718.72</v>
      </c>
      <c r="AK16" s="38"/>
      <c r="AL16" s="42">
        <v>1</v>
      </c>
      <c r="AM16" s="39"/>
      <c r="AN16" s="17">
        <f t="shared" si="1"/>
        <v>718.72</v>
      </c>
      <c r="AP16" s="18"/>
      <c r="AQ16" s="10"/>
      <c r="AR16" s="17">
        <f t="shared" si="2"/>
        <v>0</v>
      </c>
      <c r="AT16" s="19"/>
      <c r="AV16" s="10"/>
      <c r="AW16" s="17">
        <f t="shared" si="3"/>
        <v>0</v>
      </c>
      <c r="AY16" s="13"/>
      <c r="AZ16" s="17">
        <f t="shared" si="4"/>
        <v>0</v>
      </c>
      <c r="BA16" s="20">
        <f t="shared" si="5"/>
        <v>-718.72</v>
      </c>
      <c r="BC16" s="10">
        <f t="shared" si="6"/>
        <v>0</v>
      </c>
      <c r="BD16" s="17">
        <f t="shared" si="7"/>
        <v>0</v>
      </c>
      <c r="BE16" s="17">
        <f t="shared" si="8"/>
        <v>0</v>
      </c>
      <c r="BG16" s="18">
        <f t="shared" si="12"/>
        <v>0</v>
      </c>
      <c r="BH16" s="10">
        <f t="shared" si="13"/>
        <v>0</v>
      </c>
      <c r="BI16" s="17">
        <f t="shared" si="9"/>
        <v>0</v>
      </c>
      <c r="BJ16" s="21" t="str">
        <f t="shared" si="10"/>
        <v>nenhuma</v>
      </c>
      <c r="BK16" s="17">
        <f t="shared" si="11"/>
        <v>0</v>
      </c>
    </row>
    <row r="17" spans="1:63" x14ac:dyDescent="0.25">
      <c r="A17" s="8">
        <v>13</v>
      </c>
      <c r="B17" s="18">
        <v>59000</v>
      </c>
      <c r="C17" s="10">
        <v>449052</v>
      </c>
      <c r="D17" s="10">
        <v>3701</v>
      </c>
      <c r="E17" s="10">
        <v>406554</v>
      </c>
      <c r="F17" s="11">
        <v>745.98</v>
      </c>
      <c r="G17" s="13"/>
      <c r="H17" s="13"/>
      <c r="I17" s="12">
        <v>869</v>
      </c>
      <c r="J17" s="13"/>
      <c r="K17" s="13"/>
      <c r="L17" s="13"/>
      <c r="M17" s="13"/>
      <c r="N17" s="13"/>
      <c r="O17" s="13"/>
      <c r="P17" s="13"/>
      <c r="Q17" s="12">
        <v>829</v>
      </c>
      <c r="R17" s="12"/>
      <c r="S17" s="12"/>
      <c r="T17" s="12"/>
      <c r="U17" s="12"/>
      <c r="V17" s="12"/>
      <c r="W17" s="12"/>
      <c r="X17" s="12"/>
      <c r="Y17" s="12"/>
      <c r="Z17" s="12"/>
      <c r="AA17" s="12"/>
      <c r="AB17" s="12"/>
      <c r="AC17" s="12"/>
      <c r="AD17" s="12"/>
      <c r="AE17" s="12"/>
      <c r="AF17" s="12"/>
      <c r="AH17" s="14">
        <f t="shared" si="0"/>
        <v>814.66</v>
      </c>
      <c r="AJ17" s="15">
        <v>814.66</v>
      </c>
      <c r="AK17" s="38"/>
      <c r="AL17" s="42">
        <v>1</v>
      </c>
      <c r="AM17" s="39"/>
      <c r="AN17" s="17">
        <f t="shared" si="1"/>
        <v>814.66</v>
      </c>
      <c r="AP17" s="18"/>
      <c r="AQ17" s="10"/>
      <c r="AR17" s="17">
        <f t="shared" si="2"/>
        <v>0</v>
      </c>
      <c r="AT17" s="19"/>
      <c r="AV17" s="10"/>
      <c r="AW17" s="17">
        <f t="shared" si="3"/>
        <v>0</v>
      </c>
      <c r="AY17" s="13"/>
      <c r="AZ17" s="17">
        <f t="shared" si="4"/>
        <v>0</v>
      </c>
      <c r="BA17" s="20">
        <f t="shared" si="5"/>
        <v>-814.66</v>
      </c>
      <c r="BC17" s="10">
        <f t="shared" si="6"/>
        <v>0</v>
      </c>
      <c r="BD17" s="17">
        <f t="shared" si="7"/>
        <v>0</v>
      </c>
      <c r="BE17" s="17">
        <f t="shared" si="8"/>
        <v>0</v>
      </c>
      <c r="BG17" s="18">
        <f t="shared" si="12"/>
        <v>0</v>
      </c>
      <c r="BH17" s="10">
        <f t="shared" si="13"/>
        <v>0</v>
      </c>
      <c r="BI17" s="17">
        <f t="shared" si="9"/>
        <v>0</v>
      </c>
      <c r="BJ17" s="21" t="str">
        <f t="shared" si="10"/>
        <v>nenhuma</v>
      </c>
      <c r="BK17" s="17">
        <f t="shared" si="11"/>
        <v>0</v>
      </c>
    </row>
    <row r="18" spans="1:63" x14ac:dyDescent="0.25">
      <c r="A18" s="8">
        <v>14</v>
      </c>
      <c r="B18" s="25" t="s">
        <v>52</v>
      </c>
      <c r="C18" s="10">
        <v>449052</v>
      </c>
      <c r="D18" s="10">
        <v>4678</v>
      </c>
      <c r="E18" s="10">
        <v>380387</v>
      </c>
      <c r="F18" s="12">
        <v>3200.48</v>
      </c>
      <c r="G18" s="13"/>
      <c r="H18" s="13"/>
      <c r="I18" s="12">
        <v>3350</v>
      </c>
      <c r="J18" s="13"/>
      <c r="K18" s="13"/>
      <c r="L18" s="12">
        <v>3194.89</v>
      </c>
      <c r="M18" s="12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H18" s="14">
        <f t="shared" si="0"/>
        <v>3248.4567000000002</v>
      </c>
      <c r="AJ18" s="15">
        <v>3248.45</v>
      </c>
      <c r="AK18" s="38"/>
      <c r="AL18" s="42">
        <v>1</v>
      </c>
      <c r="AM18" s="39"/>
      <c r="AN18" s="17">
        <f t="shared" si="1"/>
        <v>3248.45</v>
      </c>
      <c r="AP18" s="18"/>
      <c r="AQ18" s="10"/>
      <c r="AR18" s="17">
        <f t="shared" si="2"/>
        <v>0</v>
      </c>
      <c r="AT18" s="19"/>
      <c r="AV18" s="10"/>
      <c r="AW18" s="17">
        <f t="shared" si="3"/>
        <v>0</v>
      </c>
      <c r="AY18" s="13"/>
      <c r="AZ18" s="17">
        <f t="shared" si="4"/>
        <v>0</v>
      </c>
      <c r="BA18" s="20">
        <f t="shared" si="5"/>
        <v>-3248.45</v>
      </c>
      <c r="BC18" s="10">
        <f t="shared" si="6"/>
        <v>0</v>
      </c>
      <c r="BD18" s="17">
        <f t="shared" si="7"/>
        <v>0</v>
      </c>
      <c r="BE18" s="17">
        <f t="shared" si="8"/>
        <v>0</v>
      </c>
      <c r="BG18" s="18">
        <f t="shared" si="12"/>
        <v>0</v>
      </c>
      <c r="BH18" s="10">
        <f t="shared" si="13"/>
        <v>0</v>
      </c>
      <c r="BI18" s="17">
        <f t="shared" si="9"/>
        <v>0</v>
      </c>
      <c r="BJ18" s="21" t="str">
        <f t="shared" si="10"/>
        <v>nenhuma</v>
      </c>
      <c r="BK18" s="17">
        <f t="shared" si="11"/>
        <v>0</v>
      </c>
    </row>
    <row r="19" spans="1:63" x14ac:dyDescent="0.25">
      <c r="A19" s="8">
        <v>15</v>
      </c>
      <c r="B19" s="18">
        <v>59000</v>
      </c>
      <c r="C19" s="10">
        <v>449052</v>
      </c>
      <c r="D19" s="10">
        <v>14703</v>
      </c>
      <c r="E19" s="10">
        <v>452767</v>
      </c>
      <c r="F19" s="12">
        <v>3121.11</v>
      </c>
      <c r="G19" s="13"/>
      <c r="H19" s="13"/>
      <c r="I19" s="12">
        <v>3480</v>
      </c>
      <c r="J19" s="13"/>
      <c r="K19" s="13"/>
      <c r="L19" s="13"/>
      <c r="M19" s="13"/>
      <c r="N19" s="13"/>
      <c r="O19" s="13"/>
      <c r="P19" s="13"/>
      <c r="Q19" s="13"/>
      <c r="R19" s="12">
        <v>3102.12</v>
      </c>
      <c r="S19" s="12">
        <v>3899.85</v>
      </c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  <c r="AE19" s="12"/>
      <c r="AF19" s="12"/>
      <c r="AH19" s="14">
        <f t="shared" si="0"/>
        <v>3400.77</v>
      </c>
      <c r="AJ19" s="15">
        <v>3400.77</v>
      </c>
      <c r="AK19" s="38"/>
      <c r="AL19" s="42">
        <v>1</v>
      </c>
      <c r="AM19" s="39"/>
      <c r="AN19" s="17">
        <f t="shared" si="1"/>
        <v>3400.77</v>
      </c>
      <c r="AP19" s="18"/>
      <c r="AQ19" s="10"/>
      <c r="AR19" s="17">
        <f t="shared" si="2"/>
        <v>0</v>
      </c>
      <c r="AT19" s="19"/>
      <c r="AV19" s="10"/>
      <c r="AW19" s="17">
        <f t="shared" si="3"/>
        <v>0</v>
      </c>
      <c r="AY19" s="13"/>
      <c r="AZ19" s="17">
        <f t="shared" si="4"/>
        <v>0</v>
      </c>
      <c r="BA19" s="20">
        <f t="shared" si="5"/>
        <v>-3400.77</v>
      </c>
      <c r="BC19" s="10">
        <f t="shared" si="6"/>
        <v>0</v>
      </c>
      <c r="BD19" s="17">
        <f t="shared" si="7"/>
        <v>0</v>
      </c>
      <c r="BE19" s="17">
        <f t="shared" si="8"/>
        <v>0</v>
      </c>
      <c r="BG19" s="18">
        <f t="shared" si="12"/>
        <v>0</v>
      </c>
      <c r="BH19" s="10">
        <f t="shared" si="13"/>
        <v>0</v>
      </c>
      <c r="BI19" s="17">
        <f t="shared" si="9"/>
        <v>0</v>
      </c>
      <c r="BJ19" s="21" t="str">
        <f t="shared" si="10"/>
        <v>nenhuma</v>
      </c>
      <c r="BK19" s="17">
        <f t="shared" si="11"/>
        <v>0</v>
      </c>
    </row>
    <row r="20" spans="1:63" x14ac:dyDescent="0.25">
      <c r="A20" s="8">
        <v>16</v>
      </c>
      <c r="B20" s="18">
        <v>59000</v>
      </c>
      <c r="C20" s="10">
        <v>339030</v>
      </c>
      <c r="D20" s="10">
        <v>14703</v>
      </c>
      <c r="E20" s="10">
        <v>432668</v>
      </c>
      <c r="F20" s="23">
        <v>170.68</v>
      </c>
      <c r="G20" s="13"/>
      <c r="H20" s="13"/>
      <c r="I20" s="13"/>
      <c r="J20" s="13"/>
      <c r="K20" s="13"/>
      <c r="L20" s="12">
        <v>281.06</v>
      </c>
      <c r="M20" s="12"/>
      <c r="N20" s="13"/>
      <c r="O20" s="13"/>
      <c r="P20" s="13"/>
      <c r="Q20" s="13"/>
      <c r="R20" s="13"/>
      <c r="S20" s="13"/>
      <c r="T20" s="12">
        <v>289.58999999999997</v>
      </c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H20" s="14">
        <f t="shared" si="0"/>
        <v>247.11</v>
      </c>
      <c r="AJ20" s="15">
        <v>247.11</v>
      </c>
      <c r="AK20" s="38"/>
      <c r="AL20" s="42">
        <v>1</v>
      </c>
      <c r="AM20" s="39"/>
      <c r="AN20" s="17">
        <f t="shared" si="1"/>
        <v>247.11</v>
      </c>
      <c r="AP20" s="18"/>
      <c r="AQ20" s="10"/>
      <c r="AR20" s="17">
        <f t="shared" si="2"/>
        <v>0</v>
      </c>
      <c r="AT20" s="19"/>
      <c r="AV20" s="10"/>
      <c r="AW20" s="17">
        <f t="shared" si="3"/>
        <v>0</v>
      </c>
      <c r="AY20" s="13"/>
      <c r="AZ20" s="17">
        <f t="shared" si="4"/>
        <v>0</v>
      </c>
      <c r="BA20" s="20">
        <f t="shared" si="5"/>
        <v>-247.11</v>
      </c>
      <c r="BC20" s="10">
        <f t="shared" si="6"/>
        <v>0</v>
      </c>
      <c r="BD20" s="17">
        <f t="shared" si="7"/>
        <v>0</v>
      </c>
      <c r="BE20" s="17">
        <f t="shared" si="8"/>
        <v>0</v>
      </c>
      <c r="BG20" s="18">
        <f t="shared" si="12"/>
        <v>0</v>
      </c>
      <c r="BH20" s="10">
        <f t="shared" si="13"/>
        <v>0</v>
      </c>
      <c r="BI20" s="17">
        <f t="shared" si="9"/>
        <v>0</v>
      </c>
      <c r="BJ20" s="21" t="str">
        <f t="shared" si="10"/>
        <v>nenhuma</v>
      </c>
      <c r="BK20" s="17">
        <f t="shared" si="11"/>
        <v>0</v>
      </c>
    </row>
    <row r="21" spans="1:63" x14ac:dyDescent="0.25">
      <c r="A21" s="8">
        <v>17</v>
      </c>
      <c r="B21" s="18">
        <v>59000</v>
      </c>
      <c r="C21" s="10">
        <v>339030</v>
      </c>
      <c r="D21" s="10">
        <v>18970</v>
      </c>
      <c r="E21" s="10">
        <v>242668</v>
      </c>
      <c r="F21" s="12">
        <v>74.31</v>
      </c>
      <c r="G21" s="13"/>
      <c r="H21" s="13"/>
      <c r="I21" s="12">
        <v>132.1</v>
      </c>
      <c r="J21" s="13"/>
      <c r="K21" s="13"/>
      <c r="L21" s="13"/>
      <c r="M21" s="13"/>
      <c r="N21" s="13"/>
      <c r="O21" s="23">
        <v>77.739999999999995</v>
      </c>
      <c r="P21" s="13"/>
      <c r="Q21" s="13"/>
      <c r="R21" s="13"/>
      <c r="S21" s="13"/>
      <c r="T21" s="13"/>
      <c r="U21" s="12">
        <v>203.17</v>
      </c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H21" s="26">
        <f t="shared" si="0"/>
        <v>121.83</v>
      </c>
      <c r="AJ21" s="15">
        <v>121.83</v>
      </c>
      <c r="AK21" s="38"/>
      <c r="AL21" s="42">
        <v>8</v>
      </c>
      <c r="AM21" s="39"/>
      <c r="AN21" s="17">
        <f t="shared" si="1"/>
        <v>974.64</v>
      </c>
      <c r="AP21" s="18"/>
      <c r="AQ21" s="10"/>
      <c r="AR21" s="17">
        <f t="shared" si="2"/>
        <v>0</v>
      </c>
      <c r="AT21" s="19"/>
      <c r="AV21" s="10"/>
      <c r="AW21" s="17">
        <f t="shared" si="3"/>
        <v>0</v>
      </c>
      <c r="AY21" s="13"/>
      <c r="AZ21" s="17">
        <f t="shared" si="4"/>
        <v>0</v>
      </c>
      <c r="BA21" s="20">
        <f t="shared" si="5"/>
        <v>-974.64</v>
      </c>
      <c r="BC21" s="10">
        <f t="shared" si="6"/>
        <v>0</v>
      </c>
      <c r="BD21" s="17">
        <f t="shared" si="7"/>
        <v>0</v>
      </c>
      <c r="BE21" s="17">
        <f t="shared" si="8"/>
        <v>0</v>
      </c>
      <c r="BG21" s="18">
        <f t="shared" si="12"/>
        <v>0</v>
      </c>
      <c r="BH21" s="10">
        <f t="shared" si="13"/>
        <v>0</v>
      </c>
      <c r="BI21" s="17">
        <f t="shared" si="9"/>
        <v>0</v>
      </c>
      <c r="BJ21" s="21" t="str">
        <f t="shared" si="10"/>
        <v>nenhuma</v>
      </c>
      <c r="BK21" s="17">
        <f t="shared" si="11"/>
        <v>0</v>
      </c>
    </row>
    <row r="22" spans="1:63" x14ac:dyDescent="0.25">
      <c r="A22" s="8">
        <v>18</v>
      </c>
      <c r="B22" s="18">
        <v>59000</v>
      </c>
      <c r="C22" s="10">
        <v>339030</v>
      </c>
      <c r="D22" s="10">
        <v>18970</v>
      </c>
      <c r="E22" s="10">
        <v>428221</v>
      </c>
      <c r="F22" s="13"/>
      <c r="G22" s="13"/>
      <c r="H22" s="13"/>
      <c r="I22" s="12">
        <v>182</v>
      </c>
      <c r="J22" s="13"/>
      <c r="K22" s="13"/>
      <c r="L22" s="12">
        <v>125</v>
      </c>
      <c r="M22" s="12"/>
      <c r="N22" s="13"/>
      <c r="O22" s="12">
        <v>105.85</v>
      </c>
      <c r="P22" s="13"/>
      <c r="Q22" s="13"/>
      <c r="R22" s="13"/>
      <c r="S22" s="13"/>
      <c r="T22" s="13"/>
      <c r="U22" s="13"/>
      <c r="V22" s="23">
        <v>92.03</v>
      </c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H22" s="26">
        <f t="shared" si="0"/>
        <v>126.22</v>
      </c>
      <c r="AJ22" s="15">
        <v>126.22</v>
      </c>
      <c r="AK22" s="38"/>
      <c r="AL22" s="42">
        <v>10</v>
      </c>
      <c r="AM22" s="39"/>
      <c r="AN22" s="17">
        <f t="shared" si="1"/>
        <v>1262.2</v>
      </c>
      <c r="AP22" s="18"/>
      <c r="AQ22" s="10"/>
      <c r="AR22" s="17">
        <f t="shared" si="2"/>
        <v>0</v>
      </c>
      <c r="AT22" s="19"/>
      <c r="AV22" s="10"/>
      <c r="AW22" s="17">
        <f t="shared" si="3"/>
        <v>0</v>
      </c>
      <c r="AY22" s="13"/>
      <c r="AZ22" s="17">
        <f t="shared" si="4"/>
        <v>0</v>
      </c>
      <c r="BA22" s="20">
        <f t="shared" si="5"/>
        <v>-1262.2</v>
      </c>
      <c r="BC22" s="10">
        <f t="shared" si="6"/>
        <v>0</v>
      </c>
      <c r="BD22" s="17">
        <f t="shared" si="7"/>
        <v>0</v>
      </c>
      <c r="BE22" s="17">
        <f t="shared" si="8"/>
        <v>0</v>
      </c>
      <c r="BG22" s="18">
        <f t="shared" si="12"/>
        <v>0</v>
      </c>
      <c r="BH22" s="10">
        <f t="shared" si="13"/>
        <v>0</v>
      </c>
      <c r="BI22" s="17">
        <f t="shared" si="9"/>
        <v>0</v>
      </c>
      <c r="BJ22" s="21" t="str">
        <f t="shared" si="10"/>
        <v>nenhuma</v>
      </c>
      <c r="BK22" s="17">
        <f t="shared" si="11"/>
        <v>0</v>
      </c>
    </row>
    <row r="23" spans="1:63" x14ac:dyDescent="0.25">
      <c r="A23" s="8">
        <v>19</v>
      </c>
      <c r="B23" s="18">
        <v>59406</v>
      </c>
      <c r="C23" s="10">
        <v>449052</v>
      </c>
      <c r="D23" s="10">
        <v>19489</v>
      </c>
      <c r="E23" s="10">
        <v>355418</v>
      </c>
      <c r="F23" s="12">
        <v>2290.7800000000002</v>
      </c>
      <c r="G23" s="13"/>
      <c r="H23" s="13"/>
      <c r="I23" s="12">
        <v>2863</v>
      </c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2">
        <v>2615.71</v>
      </c>
      <c r="X23" s="13"/>
      <c r="Y23" s="13"/>
      <c r="Z23" s="13"/>
      <c r="AA23" s="13"/>
      <c r="AB23" s="13"/>
      <c r="AC23" s="13"/>
      <c r="AD23" s="13"/>
      <c r="AE23" s="13"/>
      <c r="AF23" s="13"/>
      <c r="AH23" s="14">
        <f t="shared" si="0"/>
        <v>2589.83</v>
      </c>
      <c r="AJ23" s="15">
        <v>2589.83</v>
      </c>
      <c r="AK23" s="38"/>
      <c r="AL23" s="42">
        <v>3</v>
      </c>
      <c r="AM23" s="39"/>
      <c r="AN23" s="17">
        <f t="shared" si="1"/>
        <v>7769.49</v>
      </c>
      <c r="AP23" s="18"/>
      <c r="AQ23" s="10"/>
      <c r="AR23" s="17">
        <f t="shared" si="2"/>
        <v>0</v>
      </c>
      <c r="AT23" s="19"/>
      <c r="AV23" s="10"/>
      <c r="AW23" s="17">
        <f t="shared" si="3"/>
        <v>0</v>
      </c>
      <c r="AY23" s="13"/>
      <c r="AZ23" s="17">
        <f t="shared" si="4"/>
        <v>0</v>
      </c>
      <c r="BA23" s="20">
        <f t="shared" si="5"/>
        <v>-7769.49</v>
      </c>
      <c r="BC23" s="10">
        <f t="shared" si="6"/>
        <v>0</v>
      </c>
      <c r="BD23" s="17">
        <f t="shared" si="7"/>
        <v>0</v>
      </c>
      <c r="BE23" s="17">
        <f t="shared" si="8"/>
        <v>0</v>
      </c>
      <c r="BG23" s="18">
        <f t="shared" si="12"/>
        <v>0</v>
      </c>
      <c r="BH23" s="10">
        <f t="shared" si="13"/>
        <v>0</v>
      </c>
      <c r="BI23" s="17">
        <f t="shared" si="9"/>
        <v>0</v>
      </c>
      <c r="BJ23" s="21" t="str">
        <f t="shared" si="10"/>
        <v>nenhuma</v>
      </c>
      <c r="BK23" s="17">
        <f t="shared" si="11"/>
        <v>0</v>
      </c>
    </row>
    <row r="24" spans="1:63" x14ac:dyDescent="0.25">
      <c r="A24" s="8">
        <v>20</v>
      </c>
      <c r="B24" s="18">
        <v>59406</v>
      </c>
      <c r="C24" s="10">
        <v>449052</v>
      </c>
      <c r="D24" s="10">
        <v>19489</v>
      </c>
      <c r="E24" s="10">
        <v>407532</v>
      </c>
      <c r="F24" s="11">
        <v>601.25</v>
      </c>
      <c r="G24" s="13"/>
      <c r="H24" s="13"/>
      <c r="I24" s="12">
        <v>980</v>
      </c>
      <c r="J24" s="13"/>
      <c r="K24" s="12">
        <v>594.5</v>
      </c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H24" s="14">
        <f t="shared" si="0"/>
        <v>725.25</v>
      </c>
      <c r="AJ24" s="15">
        <v>725.25</v>
      </c>
      <c r="AK24" s="38"/>
      <c r="AL24" s="42">
        <v>2</v>
      </c>
      <c r="AM24" s="39"/>
      <c r="AN24" s="17">
        <f t="shared" si="1"/>
        <v>1450.5</v>
      </c>
      <c r="AP24" s="18"/>
      <c r="AQ24" s="10"/>
      <c r="AR24" s="17">
        <f t="shared" si="2"/>
        <v>0</v>
      </c>
      <c r="AT24" s="19"/>
      <c r="AV24" s="10"/>
      <c r="AW24" s="17">
        <f t="shared" si="3"/>
        <v>0</v>
      </c>
      <c r="AY24" s="13"/>
      <c r="AZ24" s="17">
        <f t="shared" si="4"/>
        <v>0</v>
      </c>
      <c r="BA24" s="20">
        <f t="shared" si="5"/>
        <v>-1450.5</v>
      </c>
      <c r="BC24" s="10">
        <f t="shared" si="6"/>
        <v>0</v>
      </c>
      <c r="BD24" s="17">
        <f t="shared" si="7"/>
        <v>0</v>
      </c>
      <c r="BE24" s="17">
        <f t="shared" si="8"/>
        <v>0</v>
      </c>
      <c r="BG24" s="18">
        <f t="shared" si="12"/>
        <v>0</v>
      </c>
      <c r="BH24" s="10">
        <f t="shared" si="13"/>
        <v>0</v>
      </c>
      <c r="BI24" s="17">
        <f t="shared" si="9"/>
        <v>0</v>
      </c>
      <c r="BJ24" s="21" t="str">
        <f t="shared" si="10"/>
        <v>nenhuma</v>
      </c>
      <c r="BK24" s="17">
        <f t="shared" si="11"/>
        <v>0</v>
      </c>
    </row>
    <row r="25" spans="1:63" x14ac:dyDescent="0.25">
      <c r="A25" s="8">
        <v>21</v>
      </c>
      <c r="B25" s="18">
        <v>59406</v>
      </c>
      <c r="C25" s="10">
        <v>449052</v>
      </c>
      <c r="D25" s="10">
        <v>19489</v>
      </c>
      <c r="E25" s="10">
        <v>253900</v>
      </c>
      <c r="F25" s="12">
        <v>561.07000000000005</v>
      </c>
      <c r="G25" s="13"/>
      <c r="H25" s="13"/>
      <c r="I25" s="12">
        <v>438</v>
      </c>
      <c r="J25" s="13"/>
      <c r="K25" s="13"/>
      <c r="L25" s="12">
        <v>479</v>
      </c>
      <c r="M25" s="12"/>
      <c r="N25" s="13"/>
      <c r="O25" s="13"/>
      <c r="P25" s="12">
        <v>336.8</v>
      </c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H25" s="14">
        <f t="shared" si="0"/>
        <v>453.71749999999997</v>
      </c>
      <c r="AJ25" s="15">
        <v>453.71</v>
      </c>
      <c r="AK25" s="38"/>
      <c r="AL25" s="42">
        <v>4</v>
      </c>
      <c r="AM25" s="39"/>
      <c r="AN25" s="17">
        <f t="shared" si="1"/>
        <v>1814.84</v>
      </c>
      <c r="AP25" s="18"/>
      <c r="AQ25" s="10"/>
      <c r="AR25" s="17">
        <f t="shared" si="2"/>
        <v>0</v>
      </c>
      <c r="AT25" s="19"/>
      <c r="AV25" s="10"/>
      <c r="AW25" s="17">
        <f t="shared" si="3"/>
        <v>0</v>
      </c>
      <c r="AY25" s="13"/>
      <c r="AZ25" s="17">
        <f t="shared" si="4"/>
        <v>0</v>
      </c>
      <c r="BA25" s="20">
        <f t="shared" si="5"/>
        <v>-1814.84</v>
      </c>
      <c r="BC25" s="10">
        <f t="shared" si="6"/>
        <v>0</v>
      </c>
      <c r="BD25" s="17">
        <f t="shared" si="7"/>
        <v>0</v>
      </c>
      <c r="BE25" s="17">
        <f t="shared" si="8"/>
        <v>0</v>
      </c>
      <c r="BG25" s="18">
        <f t="shared" si="12"/>
        <v>0</v>
      </c>
      <c r="BH25" s="10">
        <f t="shared" si="13"/>
        <v>0</v>
      </c>
      <c r="BI25" s="17">
        <f t="shared" si="9"/>
        <v>0</v>
      </c>
      <c r="BJ25" s="21" t="str">
        <f t="shared" si="10"/>
        <v>nenhuma</v>
      </c>
      <c r="BK25" s="17">
        <f t="shared" si="11"/>
        <v>0</v>
      </c>
    </row>
    <row r="26" spans="1:63" x14ac:dyDescent="0.25">
      <c r="A26" s="8">
        <v>22</v>
      </c>
      <c r="B26" s="18">
        <v>59406</v>
      </c>
      <c r="C26" s="10">
        <v>449052</v>
      </c>
      <c r="D26" s="10">
        <v>19489</v>
      </c>
      <c r="E26" s="10">
        <v>483299</v>
      </c>
      <c r="F26" s="12">
        <v>244.02</v>
      </c>
      <c r="G26" s="13"/>
      <c r="H26" s="13"/>
      <c r="I26" s="12">
        <v>424.15</v>
      </c>
      <c r="J26" s="13"/>
      <c r="K26" s="13"/>
      <c r="L26" s="12">
        <v>429.8</v>
      </c>
      <c r="M26" s="12">
        <v>351.19</v>
      </c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2">
        <v>341.28</v>
      </c>
      <c r="Y26" s="13"/>
      <c r="Z26" s="13"/>
      <c r="AA26" s="13"/>
      <c r="AB26" s="13"/>
      <c r="AC26" s="13"/>
      <c r="AD26" s="13"/>
      <c r="AE26" s="13"/>
      <c r="AF26" s="13"/>
      <c r="AH26" s="26">
        <f t="shared" si="0"/>
        <v>358.08800000000002</v>
      </c>
      <c r="AJ26" s="15">
        <v>358.08</v>
      </c>
      <c r="AK26" s="38"/>
      <c r="AL26" s="42">
        <v>2</v>
      </c>
      <c r="AM26" s="39"/>
      <c r="AN26" s="17">
        <f t="shared" si="1"/>
        <v>716.16</v>
      </c>
      <c r="AP26" s="18"/>
      <c r="AQ26" s="10"/>
      <c r="AR26" s="17">
        <f t="shared" si="2"/>
        <v>0</v>
      </c>
      <c r="AT26" s="19"/>
      <c r="AV26" s="10"/>
      <c r="AW26" s="17">
        <f t="shared" si="3"/>
        <v>0</v>
      </c>
      <c r="AY26" s="13"/>
      <c r="AZ26" s="17">
        <f t="shared" si="4"/>
        <v>0</v>
      </c>
      <c r="BA26" s="20">
        <f t="shared" si="5"/>
        <v>-716.16</v>
      </c>
      <c r="BC26" s="10">
        <f t="shared" si="6"/>
        <v>0</v>
      </c>
      <c r="BD26" s="17">
        <f t="shared" si="7"/>
        <v>0</v>
      </c>
      <c r="BE26" s="17">
        <f t="shared" si="8"/>
        <v>0</v>
      </c>
      <c r="BG26" s="18">
        <f t="shared" si="12"/>
        <v>0</v>
      </c>
      <c r="BH26" s="10">
        <f t="shared" si="13"/>
        <v>0</v>
      </c>
      <c r="BI26" s="17">
        <f t="shared" si="9"/>
        <v>0</v>
      </c>
      <c r="BJ26" s="21" t="str">
        <f t="shared" si="10"/>
        <v>nenhuma</v>
      </c>
      <c r="BK26" s="17">
        <f t="shared" si="11"/>
        <v>0</v>
      </c>
    </row>
    <row r="27" spans="1:63" x14ac:dyDescent="0.25">
      <c r="A27" s="8">
        <v>23</v>
      </c>
      <c r="B27" s="18">
        <v>59000</v>
      </c>
      <c r="C27" s="10">
        <v>449052</v>
      </c>
      <c r="D27" s="10">
        <v>24342</v>
      </c>
      <c r="E27" s="10">
        <v>431080</v>
      </c>
      <c r="F27" s="12">
        <v>3617.48</v>
      </c>
      <c r="G27" s="13"/>
      <c r="H27" s="13"/>
      <c r="I27" s="12">
        <v>3685</v>
      </c>
      <c r="J27" s="13"/>
      <c r="K27" s="13"/>
      <c r="L27" s="12">
        <v>4458.8999999999996</v>
      </c>
      <c r="M27" s="12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2">
        <v>3499</v>
      </c>
      <c r="Z27" s="13"/>
      <c r="AA27" s="13"/>
      <c r="AB27" s="13"/>
      <c r="AC27" s="13"/>
      <c r="AD27" s="13"/>
      <c r="AE27" s="13"/>
      <c r="AF27" s="13"/>
      <c r="AH27" s="14">
        <f t="shared" si="0"/>
        <v>3815.0949999999998</v>
      </c>
      <c r="AJ27" s="15">
        <v>3815.09</v>
      </c>
      <c r="AK27" s="38"/>
      <c r="AL27" s="42">
        <v>1</v>
      </c>
      <c r="AM27" s="39"/>
      <c r="AN27" s="17">
        <f t="shared" si="1"/>
        <v>3815.09</v>
      </c>
      <c r="AP27" s="18"/>
      <c r="AQ27" s="10"/>
      <c r="AR27" s="17">
        <f t="shared" si="2"/>
        <v>0</v>
      </c>
      <c r="AT27" s="19"/>
      <c r="AV27" s="10"/>
      <c r="AW27" s="17">
        <f t="shared" si="3"/>
        <v>0</v>
      </c>
      <c r="AY27" s="13"/>
      <c r="AZ27" s="17">
        <f t="shared" si="4"/>
        <v>0</v>
      </c>
      <c r="BA27" s="20">
        <f t="shared" si="5"/>
        <v>-3815.09</v>
      </c>
      <c r="BC27" s="10">
        <f t="shared" si="6"/>
        <v>0</v>
      </c>
      <c r="BD27" s="17">
        <f t="shared" si="7"/>
        <v>0</v>
      </c>
      <c r="BE27" s="17">
        <f t="shared" si="8"/>
        <v>0</v>
      </c>
      <c r="BG27" s="18">
        <f t="shared" si="12"/>
        <v>0</v>
      </c>
      <c r="BH27" s="10">
        <f t="shared" si="13"/>
        <v>0</v>
      </c>
      <c r="BI27" s="17">
        <f t="shared" si="9"/>
        <v>0</v>
      </c>
      <c r="BJ27" s="21" t="str">
        <f t="shared" si="10"/>
        <v>nenhuma</v>
      </c>
      <c r="BK27" s="17">
        <f t="shared" si="11"/>
        <v>0</v>
      </c>
    </row>
    <row r="28" spans="1:63" x14ac:dyDescent="0.25">
      <c r="A28" s="8">
        <v>24</v>
      </c>
      <c r="B28" s="18">
        <v>59000</v>
      </c>
      <c r="C28" s="10">
        <v>449052</v>
      </c>
      <c r="D28" s="10">
        <v>24342</v>
      </c>
      <c r="E28" s="10">
        <v>613957</v>
      </c>
      <c r="F28" s="12">
        <v>1254.1099999999999</v>
      </c>
      <c r="G28" s="13"/>
      <c r="H28" s="12">
        <v>1382.27</v>
      </c>
      <c r="I28" s="12">
        <v>1490</v>
      </c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H28" s="14">
        <f t="shared" si="0"/>
        <v>1375.46</v>
      </c>
      <c r="AJ28" s="15">
        <v>1375.46</v>
      </c>
      <c r="AK28" s="38"/>
      <c r="AL28" s="42">
        <v>1</v>
      </c>
      <c r="AM28" s="39"/>
      <c r="AN28" s="17">
        <f t="shared" si="1"/>
        <v>1375.46</v>
      </c>
      <c r="AP28" s="18"/>
      <c r="AQ28" s="10"/>
      <c r="AR28" s="17">
        <f t="shared" si="2"/>
        <v>0</v>
      </c>
      <c r="AT28" s="19"/>
      <c r="AV28" s="10"/>
      <c r="AW28" s="17">
        <f t="shared" si="3"/>
        <v>0</v>
      </c>
      <c r="AY28" s="13"/>
      <c r="AZ28" s="17">
        <f t="shared" si="4"/>
        <v>0</v>
      </c>
      <c r="BA28" s="20">
        <f t="shared" si="5"/>
        <v>-1375.46</v>
      </c>
      <c r="BC28" s="10">
        <f t="shared" si="6"/>
        <v>0</v>
      </c>
      <c r="BD28" s="17">
        <f t="shared" si="7"/>
        <v>0</v>
      </c>
      <c r="BE28" s="17">
        <f t="shared" si="8"/>
        <v>0</v>
      </c>
      <c r="BG28" s="18">
        <f t="shared" si="12"/>
        <v>0</v>
      </c>
      <c r="BH28" s="10">
        <f t="shared" ref="BH6:BH68" si="14">AQ28</f>
        <v>0</v>
      </c>
      <c r="BI28" s="17">
        <f t="shared" si="9"/>
        <v>0</v>
      </c>
      <c r="BJ28" s="21" t="str">
        <f t="shared" si="10"/>
        <v>nenhuma</v>
      </c>
      <c r="BK28" s="17">
        <f t="shared" si="11"/>
        <v>0</v>
      </c>
    </row>
    <row r="29" spans="1:63" x14ac:dyDescent="0.25">
      <c r="A29" s="8">
        <v>25</v>
      </c>
      <c r="B29" s="18">
        <v>59000</v>
      </c>
      <c r="C29" s="10">
        <v>449052</v>
      </c>
      <c r="D29" s="10">
        <v>24342</v>
      </c>
      <c r="E29" s="10">
        <v>624544</v>
      </c>
      <c r="F29" s="12">
        <v>892.9</v>
      </c>
      <c r="G29" s="13"/>
      <c r="H29" s="13"/>
      <c r="I29" s="12">
        <v>1280</v>
      </c>
      <c r="J29" s="13"/>
      <c r="K29" s="13"/>
      <c r="L29" s="12">
        <v>953.9</v>
      </c>
      <c r="M29" s="12"/>
      <c r="N29" s="13"/>
      <c r="O29" s="13"/>
      <c r="P29" s="13"/>
      <c r="Q29" s="12">
        <v>958.9</v>
      </c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H29" s="14">
        <f t="shared" si="0"/>
        <v>1021.425</v>
      </c>
      <c r="AJ29" s="15">
        <v>1021.42</v>
      </c>
      <c r="AK29" s="38"/>
      <c r="AL29" s="42">
        <v>1</v>
      </c>
      <c r="AM29" s="39"/>
      <c r="AN29" s="17">
        <f t="shared" si="1"/>
        <v>1021.42</v>
      </c>
      <c r="AP29" s="18"/>
      <c r="AQ29" s="10"/>
      <c r="AR29" s="17">
        <f t="shared" si="2"/>
        <v>0</v>
      </c>
      <c r="AT29" s="19"/>
      <c r="AV29" s="10"/>
      <c r="AW29" s="17">
        <f t="shared" si="3"/>
        <v>0</v>
      </c>
      <c r="AY29" s="13"/>
      <c r="AZ29" s="17">
        <f t="shared" si="4"/>
        <v>0</v>
      </c>
      <c r="BA29" s="20">
        <f t="shared" si="5"/>
        <v>-1021.42</v>
      </c>
      <c r="BC29" s="10">
        <f t="shared" si="6"/>
        <v>0</v>
      </c>
      <c r="BD29" s="17">
        <f t="shared" si="7"/>
        <v>0</v>
      </c>
      <c r="BE29" s="17">
        <f t="shared" si="8"/>
        <v>0</v>
      </c>
      <c r="BG29" s="18">
        <f t="shared" ref="BG9:BG70" si="15">AP29</f>
        <v>0</v>
      </c>
      <c r="BH29" s="10">
        <f t="shared" si="14"/>
        <v>0</v>
      </c>
      <c r="BI29" s="17">
        <f t="shared" si="9"/>
        <v>0</v>
      </c>
      <c r="BJ29" s="21" t="str">
        <f t="shared" si="10"/>
        <v>nenhuma</v>
      </c>
      <c r="BK29" s="17">
        <f t="shared" si="11"/>
        <v>0</v>
      </c>
    </row>
    <row r="30" spans="1:63" x14ac:dyDescent="0.25">
      <c r="A30" s="8">
        <v>26</v>
      </c>
      <c r="B30" s="18">
        <v>59000</v>
      </c>
      <c r="C30" s="10">
        <v>449052</v>
      </c>
      <c r="D30" s="10">
        <v>24342</v>
      </c>
      <c r="E30" s="10">
        <v>401171</v>
      </c>
      <c r="F30" s="13"/>
      <c r="G30" s="13"/>
      <c r="H30" s="13"/>
      <c r="I30" s="12">
        <v>468</v>
      </c>
      <c r="J30" s="13"/>
      <c r="K30" s="12">
        <v>264.89</v>
      </c>
      <c r="L30" s="12">
        <v>419</v>
      </c>
      <c r="M30" s="12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2">
        <v>437.72</v>
      </c>
      <c r="AA30" s="12">
        <v>319.99</v>
      </c>
      <c r="AB30" s="12"/>
      <c r="AC30" s="12"/>
      <c r="AD30" s="12"/>
      <c r="AE30" s="12"/>
      <c r="AF30" s="12"/>
      <c r="AH30" s="14">
        <f t="shared" si="0"/>
        <v>381.92</v>
      </c>
      <c r="AJ30" s="15">
        <v>381.92</v>
      </c>
      <c r="AK30" s="38"/>
      <c r="AL30" s="42">
        <v>2</v>
      </c>
      <c r="AM30" s="39"/>
      <c r="AN30" s="17">
        <f t="shared" si="1"/>
        <v>763.84</v>
      </c>
      <c r="AP30" s="18"/>
      <c r="AQ30" s="10"/>
      <c r="AR30" s="17">
        <f t="shared" si="2"/>
        <v>0</v>
      </c>
      <c r="AT30" s="19"/>
      <c r="AV30" s="10"/>
      <c r="AW30" s="17">
        <f t="shared" si="3"/>
        <v>0</v>
      </c>
      <c r="AY30" s="13"/>
      <c r="AZ30" s="17">
        <f t="shared" si="4"/>
        <v>0</v>
      </c>
      <c r="BA30" s="20">
        <f t="shared" si="5"/>
        <v>-763.84</v>
      </c>
      <c r="BC30" s="10">
        <f t="shared" si="6"/>
        <v>0</v>
      </c>
      <c r="BD30" s="17">
        <f t="shared" si="7"/>
        <v>0</v>
      </c>
      <c r="BE30" s="17">
        <f t="shared" si="8"/>
        <v>0</v>
      </c>
      <c r="BG30" s="18">
        <f t="shared" si="15"/>
        <v>0</v>
      </c>
      <c r="BH30" s="10">
        <f t="shared" si="14"/>
        <v>0</v>
      </c>
      <c r="BI30" s="17">
        <f t="shared" si="9"/>
        <v>0</v>
      </c>
      <c r="BJ30" s="21" t="str">
        <f t="shared" si="10"/>
        <v>nenhuma</v>
      </c>
      <c r="BK30" s="17">
        <f t="shared" si="11"/>
        <v>0</v>
      </c>
    </row>
    <row r="31" spans="1:63" x14ac:dyDescent="0.25">
      <c r="A31" s="8">
        <v>27</v>
      </c>
      <c r="B31" s="18">
        <v>59000</v>
      </c>
      <c r="C31" s="10">
        <v>449052</v>
      </c>
      <c r="D31" s="10">
        <v>32086</v>
      </c>
      <c r="E31" s="10">
        <v>425200</v>
      </c>
      <c r="F31" s="12">
        <v>1239.54</v>
      </c>
      <c r="G31" s="13"/>
      <c r="H31" s="13"/>
      <c r="I31" s="12">
        <v>1450</v>
      </c>
      <c r="J31" s="13"/>
      <c r="K31" s="13"/>
      <c r="L31" s="12">
        <v>1378.9</v>
      </c>
      <c r="M31" s="12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H31" s="14">
        <f t="shared" si="0"/>
        <v>1356.1467</v>
      </c>
      <c r="AJ31" s="15">
        <v>1356.14</v>
      </c>
      <c r="AK31" s="38"/>
      <c r="AL31" s="42">
        <v>1</v>
      </c>
      <c r="AM31" s="39"/>
      <c r="AN31" s="17">
        <f t="shared" si="1"/>
        <v>1356.14</v>
      </c>
      <c r="AP31" s="18"/>
      <c r="AQ31" s="10"/>
      <c r="AR31" s="17">
        <f t="shared" si="2"/>
        <v>0</v>
      </c>
      <c r="AT31" s="19"/>
      <c r="AV31" s="10"/>
      <c r="AW31" s="17">
        <f t="shared" si="3"/>
        <v>0</v>
      </c>
      <c r="AY31" s="13"/>
      <c r="AZ31" s="17">
        <f t="shared" si="4"/>
        <v>0</v>
      </c>
      <c r="BA31" s="20">
        <f t="shared" si="5"/>
        <v>-1356.14</v>
      </c>
      <c r="BC31" s="10">
        <f t="shared" si="6"/>
        <v>0</v>
      </c>
      <c r="BD31" s="17">
        <f t="shared" si="7"/>
        <v>0</v>
      </c>
      <c r="BE31" s="17">
        <f t="shared" si="8"/>
        <v>0</v>
      </c>
      <c r="BG31" s="18">
        <f t="shared" si="15"/>
        <v>0</v>
      </c>
      <c r="BH31" s="10">
        <f t="shared" si="14"/>
        <v>0</v>
      </c>
      <c r="BI31" s="17">
        <f t="shared" si="9"/>
        <v>0</v>
      </c>
      <c r="BJ31" s="21" t="str">
        <f t="shared" si="10"/>
        <v>nenhuma</v>
      </c>
      <c r="BK31" s="17">
        <f t="shared" si="11"/>
        <v>0</v>
      </c>
    </row>
    <row r="32" spans="1:63" x14ac:dyDescent="0.25">
      <c r="A32" s="8">
        <v>28</v>
      </c>
      <c r="B32" s="18">
        <v>59000</v>
      </c>
      <c r="C32" s="10">
        <v>449052</v>
      </c>
      <c r="D32" s="10">
        <v>32806</v>
      </c>
      <c r="E32" s="10">
        <v>425202</v>
      </c>
      <c r="F32" s="12">
        <v>2082.67</v>
      </c>
      <c r="G32" s="13"/>
      <c r="H32" s="13"/>
      <c r="I32" s="13"/>
      <c r="J32" s="13"/>
      <c r="K32" s="13"/>
      <c r="L32" s="12">
        <v>2052.39</v>
      </c>
      <c r="M32" s="12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H32" s="14">
        <f t="shared" si="0"/>
        <v>2067.5300000000002</v>
      </c>
      <c r="AJ32" s="15">
        <v>2067.5300000000002</v>
      </c>
      <c r="AK32" s="38"/>
      <c r="AL32" s="42">
        <v>1</v>
      </c>
      <c r="AM32" s="39"/>
      <c r="AN32" s="17">
        <f t="shared" si="1"/>
        <v>2067.5300000000002</v>
      </c>
      <c r="AP32" s="18"/>
      <c r="AQ32" s="10"/>
      <c r="AR32" s="17">
        <f t="shared" si="2"/>
        <v>0</v>
      </c>
      <c r="AT32" s="19"/>
      <c r="AV32" s="10"/>
      <c r="AW32" s="17">
        <f t="shared" si="3"/>
        <v>0</v>
      </c>
      <c r="AY32" s="13"/>
      <c r="AZ32" s="17">
        <f t="shared" si="4"/>
        <v>0</v>
      </c>
      <c r="BA32" s="20">
        <f t="shared" si="5"/>
        <v>-2067.5300000000002</v>
      </c>
      <c r="BC32" s="10"/>
      <c r="BD32" s="17"/>
      <c r="BE32" s="17"/>
      <c r="BG32" s="18">
        <f t="shared" si="15"/>
        <v>0</v>
      </c>
      <c r="BH32" s="10">
        <f t="shared" si="14"/>
        <v>0</v>
      </c>
      <c r="BI32" s="17">
        <f t="shared" si="9"/>
        <v>0</v>
      </c>
      <c r="BJ32" s="21" t="str">
        <f t="shared" si="10"/>
        <v>nenhuma</v>
      </c>
      <c r="BK32" s="17">
        <f t="shared" si="11"/>
        <v>0</v>
      </c>
    </row>
    <row r="33" spans="1:63" x14ac:dyDescent="0.25">
      <c r="A33" s="8">
        <v>29</v>
      </c>
      <c r="B33" s="18">
        <v>59057</v>
      </c>
      <c r="C33" s="10">
        <v>449052</v>
      </c>
      <c r="D33" s="10">
        <v>44815</v>
      </c>
      <c r="E33" s="10">
        <v>392186</v>
      </c>
      <c r="F33" s="12">
        <v>5050.1499999999996</v>
      </c>
      <c r="G33" s="13"/>
      <c r="H33" s="13"/>
      <c r="I33" s="12">
        <v>4782</v>
      </c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2">
        <v>4451.3</v>
      </c>
      <c r="AB33" s="12"/>
      <c r="AC33" s="12"/>
      <c r="AD33" s="12"/>
      <c r="AE33" s="12"/>
      <c r="AF33" s="12"/>
      <c r="AH33" s="14">
        <f t="shared" si="0"/>
        <v>4761.1499999999996</v>
      </c>
      <c r="AJ33" s="15">
        <v>4761.1499999999996</v>
      </c>
      <c r="AK33" s="38"/>
      <c r="AL33" s="42">
        <v>1</v>
      </c>
      <c r="AM33" s="39"/>
      <c r="AN33" s="17">
        <f t="shared" si="1"/>
        <v>4761.1499999999996</v>
      </c>
      <c r="AP33" s="18"/>
      <c r="AQ33" s="10"/>
      <c r="AR33" s="17">
        <f t="shared" si="2"/>
        <v>0</v>
      </c>
      <c r="AT33" s="19"/>
      <c r="AV33" s="10"/>
      <c r="AW33" s="17">
        <f t="shared" si="3"/>
        <v>0</v>
      </c>
      <c r="AY33" s="13"/>
      <c r="AZ33" s="17">
        <f t="shared" si="4"/>
        <v>0</v>
      </c>
      <c r="BA33" s="20">
        <f t="shared" si="5"/>
        <v>-4761.1499999999996</v>
      </c>
      <c r="BC33" s="10">
        <f>AV33</f>
        <v>0</v>
      </c>
      <c r="BD33" s="17">
        <f>IF(BC33="","",SUMIF($AT$5:$AT$220,"="&amp;BC33,$AZ$5:$AZ$220))</f>
        <v>0</v>
      </c>
      <c r="BE33" s="17">
        <f>IF(AW33&gt;=0,IF(BD33&gt;=0,AW33-BD33,0),0)</f>
        <v>0</v>
      </c>
      <c r="BG33" s="18">
        <f t="shared" si="15"/>
        <v>0</v>
      </c>
      <c r="BH33" s="10">
        <f t="shared" si="14"/>
        <v>0</v>
      </c>
      <c r="BI33" s="17">
        <f t="shared" si="9"/>
        <v>0</v>
      </c>
      <c r="BJ33" s="21" t="str">
        <f t="shared" si="10"/>
        <v>nenhuma</v>
      </c>
      <c r="BK33" s="17">
        <f t="shared" si="11"/>
        <v>0</v>
      </c>
    </row>
    <row r="34" spans="1:63" x14ac:dyDescent="0.25">
      <c r="A34" s="8">
        <v>30</v>
      </c>
      <c r="B34" s="18">
        <v>59406</v>
      </c>
      <c r="C34" s="10">
        <v>449052</v>
      </c>
      <c r="D34" s="10">
        <v>44831</v>
      </c>
      <c r="E34" s="10">
        <v>456257</v>
      </c>
      <c r="F34" s="13"/>
      <c r="G34" s="13"/>
      <c r="H34" s="13"/>
      <c r="I34" s="12">
        <v>5850</v>
      </c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2">
        <v>8237.25</v>
      </c>
      <c r="AC34" s="12">
        <v>11209</v>
      </c>
      <c r="AD34" s="12">
        <v>9070.49</v>
      </c>
      <c r="AE34" s="12">
        <v>6934.95</v>
      </c>
      <c r="AF34" s="12">
        <v>5711.9</v>
      </c>
      <c r="AH34" s="14">
        <f t="shared" si="0"/>
        <v>7835.5982999999997</v>
      </c>
      <c r="AJ34" s="15">
        <v>7835.59</v>
      </c>
      <c r="AK34" s="38"/>
      <c r="AL34" s="42">
        <v>4</v>
      </c>
      <c r="AM34" s="39"/>
      <c r="AN34" s="17">
        <f t="shared" si="1"/>
        <v>31342.36</v>
      </c>
      <c r="AP34" s="18"/>
      <c r="AQ34" s="10"/>
      <c r="AR34" s="17">
        <f t="shared" si="2"/>
        <v>0</v>
      </c>
      <c r="AT34" s="19"/>
      <c r="AV34" s="10"/>
      <c r="AW34" s="17">
        <f t="shared" si="3"/>
        <v>0</v>
      </c>
      <c r="AY34" s="13"/>
      <c r="AZ34" s="17">
        <f t="shared" si="4"/>
        <v>0</v>
      </c>
      <c r="BA34" s="20">
        <f t="shared" si="5"/>
        <v>-31342.36</v>
      </c>
      <c r="BC34" s="10">
        <f>AV34</f>
        <v>0</v>
      </c>
      <c r="BD34" s="17">
        <f>IF(BC34="","",SUMIF($AT$5:$AT$220,"="&amp;BC34,$AZ$5:$AZ$220))</f>
        <v>0</v>
      </c>
      <c r="BE34" s="17">
        <f>IF(AW34&gt;=0,IF(BD34&gt;=0,AW34-BD34,0),0)</f>
        <v>0</v>
      </c>
      <c r="BG34" s="18">
        <f t="shared" si="15"/>
        <v>0</v>
      </c>
      <c r="BH34" s="10">
        <f t="shared" si="14"/>
        <v>0</v>
      </c>
      <c r="BI34" s="17">
        <f t="shared" si="9"/>
        <v>0</v>
      </c>
      <c r="BJ34" s="21" t="str">
        <f t="shared" si="10"/>
        <v>nenhuma</v>
      </c>
      <c r="BK34" s="17">
        <f t="shared" si="11"/>
        <v>0</v>
      </c>
    </row>
    <row r="35" spans="1:63" x14ac:dyDescent="0.25">
      <c r="A35" s="8">
        <v>31</v>
      </c>
      <c r="B35" s="18"/>
      <c r="C35" s="10"/>
      <c r="D35" s="10"/>
      <c r="E35" s="10"/>
      <c r="F35" s="13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H35" s="14">
        <f t="shared" si="0"/>
        <v>0</v>
      </c>
      <c r="AJ35" s="15">
        <v>0</v>
      </c>
      <c r="AK35" s="16"/>
      <c r="AL35" s="41"/>
      <c r="AM35" s="16"/>
      <c r="AN35" s="17">
        <f t="shared" si="1"/>
        <v>0</v>
      </c>
      <c r="AP35" s="18"/>
      <c r="AQ35" s="10"/>
      <c r="AR35" s="17">
        <f t="shared" si="2"/>
        <v>0</v>
      </c>
      <c r="AT35" s="19"/>
      <c r="AV35" s="10"/>
      <c r="AW35" s="17">
        <f t="shared" si="3"/>
        <v>0</v>
      </c>
      <c r="AY35" s="13"/>
      <c r="AZ35" s="17">
        <f t="shared" si="4"/>
        <v>0</v>
      </c>
      <c r="BA35" s="20">
        <f t="shared" si="5"/>
        <v>0</v>
      </c>
      <c r="BC35" s="10"/>
      <c r="BD35" s="17"/>
      <c r="BE35" s="17"/>
      <c r="BG35" s="18">
        <f t="shared" si="15"/>
        <v>0</v>
      </c>
      <c r="BH35" s="10">
        <f t="shared" si="14"/>
        <v>0</v>
      </c>
      <c r="BI35" s="17">
        <f t="shared" si="9"/>
        <v>0</v>
      </c>
      <c r="BJ35" s="21" t="str">
        <f t="shared" si="10"/>
        <v>nenhuma</v>
      </c>
      <c r="BK35" s="17">
        <f t="shared" si="11"/>
        <v>0</v>
      </c>
    </row>
    <row r="36" spans="1:63" x14ac:dyDescent="0.25">
      <c r="A36" s="8">
        <v>32</v>
      </c>
      <c r="B36" s="18"/>
      <c r="C36" s="10"/>
      <c r="D36" s="10"/>
      <c r="E36" s="10"/>
      <c r="F36" s="13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H36" s="14">
        <f t="shared" si="0"/>
        <v>0</v>
      </c>
      <c r="AJ36" s="15">
        <v>0</v>
      </c>
      <c r="AK36" s="16"/>
      <c r="AL36" s="27"/>
      <c r="AM36" s="16"/>
      <c r="AN36" s="17">
        <f t="shared" si="1"/>
        <v>0</v>
      </c>
      <c r="AP36" s="18"/>
      <c r="AQ36" s="10"/>
      <c r="AR36" s="17">
        <f t="shared" si="2"/>
        <v>0</v>
      </c>
      <c r="AT36" s="19"/>
      <c r="AV36" s="10"/>
      <c r="AW36" s="17">
        <f t="shared" si="3"/>
        <v>0</v>
      </c>
      <c r="AY36" s="13"/>
      <c r="AZ36" s="17">
        <f t="shared" si="4"/>
        <v>0</v>
      </c>
      <c r="BA36" s="20">
        <f t="shared" si="5"/>
        <v>0</v>
      </c>
      <c r="BC36" s="10"/>
      <c r="BD36" s="17"/>
      <c r="BE36" s="17"/>
      <c r="BG36" s="18">
        <f t="shared" si="15"/>
        <v>0</v>
      </c>
      <c r="BH36" s="10">
        <f t="shared" si="14"/>
        <v>0</v>
      </c>
      <c r="BI36" s="17">
        <f t="shared" si="9"/>
        <v>0</v>
      </c>
      <c r="BJ36" s="21" t="str">
        <f t="shared" si="10"/>
        <v>nenhuma</v>
      </c>
      <c r="BK36" s="17">
        <f t="shared" si="11"/>
        <v>0</v>
      </c>
    </row>
    <row r="37" spans="1:63" x14ac:dyDescent="0.25">
      <c r="A37" s="8">
        <v>33</v>
      </c>
      <c r="B37" s="18"/>
      <c r="C37" s="10"/>
      <c r="D37" s="10"/>
      <c r="E37" s="10"/>
      <c r="F37" s="13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H37" s="14">
        <f t="shared" si="0"/>
        <v>0</v>
      </c>
      <c r="AJ37" s="15">
        <v>0</v>
      </c>
      <c r="AK37" s="16"/>
      <c r="AL37" s="27"/>
      <c r="AM37" s="16"/>
      <c r="AN37" s="17">
        <f t="shared" si="1"/>
        <v>0</v>
      </c>
      <c r="AP37" s="18"/>
      <c r="AQ37" s="10"/>
      <c r="AR37" s="17">
        <f t="shared" si="2"/>
        <v>0</v>
      </c>
      <c r="AT37" s="19"/>
      <c r="AV37" s="10"/>
      <c r="AW37" s="17">
        <f t="shared" si="3"/>
        <v>0</v>
      </c>
      <c r="AY37" s="13"/>
      <c r="AZ37" s="17">
        <f t="shared" si="4"/>
        <v>0</v>
      </c>
      <c r="BA37" s="20">
        <f t="shared" si="5"/>
        <v>0</v>
      </c>
      <c r="BC37" s="10"/>
      <c r="BD37" s="17"/>
      <c r="BE37" s="17"/>
      <c r="BG37" s="18">
        <f t="shared" si="15"/>
        <v>0</v>
      </c>
      <c r="BH37" s="10">
        <f t="shared" si="14"/>
        <v>0</v>
      </c>
      <c r="BI37" s="17">
        <f t="shared" si="9"/>
        <v>0</v>
      </c>
      <c r="BJ37" s="21" t="str">
        <f t="shared" si="10"/>
        <v>nenhuma</v>
      </c>
      <c r="BK37" s="17">
        <f t="shared" si="11"/>
        <v>0</v>
      </c>
    </row>
    <row r="38" spans="1:63" x14ac:dyDescent="0.25">
      <c r="A38" s="8">
        <v>34</v>
      </c>
      <c r="B38" s="18"/>
      <c r="C38" s="10"/>
      <c r="D38" s="10"/>
      <c r="E38" s="10"/>
      <c r="F38" s="13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H38" s="14">
        <f t="shared" si="0"/>
        <v>0</v>
      </c>
      <c r="AJ38" s="15">
        <v>0</v>
      </c>
      <c r="AK38" s="16"/>
      <c r="AL38" s="27"/>
      <c r="AM38" s="16"/>
      <c r="AN38" s="17">
        <f t="shared" si="1"/>
        <v>0</v>
      </c>
      <c r="AP38" s="18"/>
      <c r="AQ38" s="10"/>
      <c r="AR38" s="17">
        <f t="shared" si="2"/>
        <v>0</v>
      </c>
      <c r="AT38" s="19"/>
      <c r="AV38" s="10"/>
      <c r="AW38" s="17">
        <f t="shared" si="3"/>
        <v>0</v>
      </c>
      <c r="AY38" s="13"/>
      <c r="AZ38" s="17">
        <f t="shared" si="4"/>
        <v>0</v>
      </c>
      <c r="BA38" s="20">
        <f t="shared" si="5"/>
        <v>0</v>
      </c>
      <c r="BC38" s="10"/>
      <c r="BD38" s="17"/>
      <c r="BE38" s="17"/>
      <c r="BG38" s="18">
        <f t="shared" si="15"/>
        <v>0</v>
      </c>
      <c r="BH38" s="10">
        <f t="shared" si="14"/>
        <v>0</v>
      </c>
      <c r="BI38" s="17">
        <f t="shared" si="9"/>
        <v>0</v>
      </c>
      <c r="BJ38" s="21" t="str">
        <f t="shared" si="10"/>
        <v>nenhuma</v>
      </c>
      <c r="BK38" s="17">
        <f t="shared" si="11"/>
        <v>0</v>
      </c>
    </row>
    <row r="39" spans="1:63" x14ac:dyDescent="0.25">
      <c r="A39" s="8">
        <v>35</v>
      </c>
      <c r="B39" s="18"/>
      <c r="C39" s="10"/>
      <c r="D39" s="10"/>
      <c r="E39" s="10"/>
      <c r="F39" s="13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H39" s="14">
        <f t="shared" si="0"/>
        <v>0</v>
      </c>
      <c r="AJ39" s="15">
        <v>0</v>
      </c>
      <c r="AK39" s="16"/>
      <c r="AL39" s="27"/>
      <c r="AM39" s="16"/>
      <c r="AN39" s="17">
        <f t="shared" si="1"/>
        <v>0</v>
      </c>
      <c r="AP39" s="18"/>
      <c r="AQ39" s="10"/>
      <c r="AR39" s="17">
        <f t="shared" si="2"/>
        <v>0</v>
      </c>
      <c r="AT39" s="19"/>
      <c r="AV39" s="10"/>
      <c r="AW39" s="17">
        <f t="shared" si="3"/>
        <v>0</v>
      </c>
      <c r="AY39" s="13"/>
      <c r="AZ39" s="17">
        <f t="shared" si="4"/>
        <v>0</v>
      </c>
      <c r="BA39" s="20">
        <f t="shared" si="5"/>
        <v>0</v>
      </c>
      <c r="BC39" s="10"/>
      <c r="BD39" s="17"/>
      <c r="BE39" s="17"/>
      <c r="BG39" s="18">
        <f t="shared" si="15"/>
        <v>0</v>
      </c>
      <c r="BH39" s="10">
        <f t="shared" si="14"/>
        <v>0</v>
      </c>
      <c r="BI39" s="17">
        <f t="shared" si="9"/>
        <v>0</v>
      </c>
      <c r="BJ39" s="21" t="str">
        <f t="shared" si="10"/>
        <v>nenhuma</v>
      </c>
      <c r="BK39" s="17">
        <f t="shared" si="11"/>
        <v>0</v>
      </c>
    </row>
    <row r="40" spans="1:63" x14ac:dyDescent="0.25">
      <c r="A40" s="8">
        <v>36</v>
      </c>
      <c r="B40" s="18"/>
      <c r="C40" s="10"/>
      <c r="D40" s="10"/>
      <c r="E40" s="10"/>
      <c r="F40" s="13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H40" s="14">
        <f t="shared" si="0"/>
        <v>0</v>
      </c>
      <c r="AJ40" s="15">
        <v>0</v>
      </c>
      <c r="AK40" s="16"/>
      <c r="AL40" s="27"/>
      <c r="AM40" s="16"/>
      <c r="AN40" s="17">
        <f t="shared" si="1"/>
        <v>0</v>
      </c>
      <c r="AP40" s="18"/>
      <c r="AQ40" s="10"/>
      <c r="AR40" s="17">
        <f t="shared" si="2"/>
        <v>0</v>
      </c>
      <c r="AT40" s="19"/>
      <c r="AV40" s="10"/>
      <c r="AW40" s="17">
        <f t="shared" si="3"/>
        <v>0</v>
      </c>
      <c r="AY40" s="13"/>
      <c r="AZ40" s="17">
        <f t="shared" si="4"/>
        <v>0</v>
      </c>
      <c r="BA40" s="20">
        <f t="shared" si="5"/>
        <v>0</v>
      </c>
      <c r="BC40" s="10"/>
      <c r="BD40" s="17"/>
      <c r="BE40" s="17"/>
      <c r="BG40" s="18">
        <f t="shared" si="15"/>
        <v>0</v>
      </c>
      <c r="BH40" s="10">
        <f t="shared" si="14"/>
        <v>0</v>
      </c>
      <c r="BI40" s="17">
        <f t="shared" si="9"/>
        <v>0</v>
      </c>
      <c r="BJ40" s="21" t="str">
        <f t="shared" si="10"/>
        <v>nenhuma</v>
      </c>
      <c r="BK40" s="17">
        <f t="shared" si="11"/>
        <v>0</v>
      </c>
    </row>
    <row r="41" spans="1:63" x14ac:dyDescent="0.25">
      <c r="A41" s="8">
        <v>37</v>
      </c>
      <c r="B41" s="18"/>
      <c r="C41" s="10"/>
      <c r="D41" s="10"/>
      <c r="E41" s="10"/>
      <c r="F41" s="13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H41" s="14">
        <f t="shared" si="0"/>
        <v>0</v>
      </c>
      <c r="AJ41" s="15">
        <v>0</v>
      </c>
      <c r="AK41" s="16"/>
      <c r="AL41" s="27"/>
      <c r="AM41" s="16"/>
      <c r="AN41" s="17">
        <f t="shared" si="1"/>
        <v>0</v>
      </c>
      <c r="AP41" s="18"/>
      <c r="AQ41" s="10"/>
      <c r="AR41" s="17">
        <f t="shared" si="2"/>
        <v>0</v>
      </c>
      <c r="AT41" s="19"/>
      <c r="AV41" s="10"/>
      <c r="AW41" s="17">
        <f t="shared" si="3"/>
        <v>0</v>
      </c>
      <c r="AY41" s="13"/>
      <c r="AZ41" s="17">
        <f t="shared" si="4"/>
        <v>0</v>
      </c>
      <c r="BA41" s="20">
        <f t="shared" si="5"/>
        <v>0</v>
      </c>
      <c r="BC41" s="10">
        <f>AV41</f>
        <v>0</v>
      </c>
      <c r="BD41" s="17">
        <f>IF(BC41="","",SUMIF($AT$5:$AT$220,"="&amp;BC41,$AZ$5:$AZ$220))</f>
        <v>0</v>
      </c>
      <c r="BE41" s="17">
        <f>IF(AW41&gt;=0,IF(BD41&gt;=0,AW41-BD41,0),0)</f>
        <v>0</v>
      </c>
      <c r="BG41" s="18">
        <f t="shared" si="15"/>
        <v>0</v>
      </c>
      <c r="BH41" s="10">
        <f t="shared" si="14"/>
        <v>0</v>
      </c>
      <c r="BI41" s="17">
        <f t="shared" si="9"/>
        <v>0</v>
      </c>
      <c r="BJ41" s="21" t="str">
        <f t="shared" si="10"/>
        <v>nenhuma</v>
      </c>
      <c r="BK41" s="17">
        <f t="shared" si="11"/>
        <v>0</v>
      </c>
    </row>
    <row r="42" spans="1:63" x14ac:dyDescent="0.25">
      <c r="A42" s="8">
        <v>38</v>
      </c>
      <c r="B42" s="18"/>
      <c r="C42" s="10"/>
      <c r="D42" s="10"/>
      <c r="E42" s="10"/>
      <c r="F42" s="13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H42" s="14">
        <f t="shared" si="0"/>
        <v>0</v>
      </c>
      <c r="AJ42" s="15">
        <v>0</v>
      </c>
      <c r="AK42" s="16"/>
      <c r="AL42" s="27"/>
      <c r="AM42" s="16"/>
      <c r="AN42" s="17">
        <f t="shared" si="1"/>
        <v>0</v>
      </c>
      <c r="AP42" s="18"/>
      <c r="AQ42" s="10"/>
      <c r="AR42" s="17">
        <f t="shared" si="2"/>
        <v>0</v>
      </c>
      <c r="AT42" s="19"/>
      <c r="AV42" s="10"/>
      <c r="AW42" s="17">
        <f t="shared" si="3"/>
        <v>0</v>
      </c>
      <c r="AY42" s="13"/>
      <c r="AZ42" s="17">
        <f t="shared" si="4"/>
        <v>0</v>
      </c>
      <c r="BA42" s="20">
        <f t="shared" si="5"/>
        <v>0</v>
      </c>
      <c r="BC42" s="10">
        <f>AV42</f>
        <v>0</v>
      </c>
      <c r="BD42" s="17">
        <f>IF(BC42="","",SUMIF($AT$5:$AT$220,"="&amp;BC42,$AZ$5:$AZ$220))</f>
        <v>0</v>
      </c>
      <c r="BE42" s="17">
        <f>IF(AW42&gt;=0,IF(BD42&gt;=0,AW42-BD42,0),0)</f>
        <v>0</v>
      </c>
      <c r="BG42" s="18">
        <f t="shared" si="15"/>
        <v>0</v>
      </c>
      <c r="BH42" s="10">
        <f t="shared" si="14"/>
        <v>0</v>
      </c>
      <c r="BI42" s="17">
        <f t="shared" si="9"/>
        <v>0</v>
      </c>
      <c r="BJ42" s="21" t="str">
        <f t="shared" si="10"/>
        <v>nenhuma</v>
      </c>
      <c r="BK42" s="17">
        <f t="shared" si="11"/>
        <v>0</v>
      </c>
    </row>
    <row r="43" spans="1:63" x14ac:dyDescent="0.25">
      <c r="A43" s="8">
        <v>39</v>
      </c>
      <c r="B43" s="18"/>
      <c r="C43" s="10"/>
      <c r="D43" s="10"/>
      <c r="E43" s="10"/>
      <c r="F43" s="13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H43" s="14">
        <f t="shared" si="0"/>
        <v>0</v>
      </c>
      <c r="AJ43" s="15">
        <v>0</v>
      </c>
      <c r="AK43" s="16"/>
      <c r="AL43" s="27"/>
      <c r="AM43" s="16"/>
      <c r="AN43" s="17">
        <f t="shared" si="1"/>
        <v>0</v>
      </c>
      <c r="AP43" s="18"/>
      <c r="AQ43" s="10"/>
      <c r="AR43" s="17">
        <f t="shared" si="2"/>
        <v>0</v>
      </c>
      <c r="AT43" s="19"/>
      <c r="AV43" s="10"/>
      <c r="AW43" s="17">
        <f t="shared" si="3"/>
        <v>0</v>
      </c>
      <c r="AY43" s="13"/>
      <c r="AZ43" s="17">
        <f t="shared" si="4"/>
        <v>0</v>
      </c>
      <c r="BA43" s="20">
        <f t="shared" si="5"/>
        <v>0</v>
      </c>
      <c r="BC43" s="10">
        <f>AV43</f>
        <v>0</v>
      </c>
      <c r="BD43" s="17">
        <f>IF(BC43="","",SUMIF($AT$5:$AT$220,"="&amp;BC43,$AZ$5:$AZ$220))</f>
        <v>0</v>
      </c>
      <c r="BE43" s="17">
        <f>IF(AW43&gt;=0,IF(BD43&gt;=0,AW43-BD43,0),0)</f>
        <v>0</v>
      </c>
      <c r="BG43" s="18">
        <f t="shared" si="15"/>
        <v>0</v>
      </c>
      <c r="BH43" s="10">
        <f t="shared" si="14"/>
        <v>0</v>
      </c>
      <c r="BI43" s="17">
        <f t="shared" si="9"/>
        <v>0</v>
      </c>
      <c r="BJ43" s="21" t="str">
        <f t="shared" si="10"/>
        <v>nenhuma</v>
      </c>
      <c r="BK43" s="17">
        <f t="shared" si="11"/>
        <v>0</v>
      </c>
    </row>
    <row r="44" spans="1:63" x14ac:dyDescent="0.25">
      <c r="A44" s="8">
        <v>40</v>
      </c>
      <c r="B44" s="18"/>
      <c r="C44" s="10"/>
      <c r="D44" s="10"/>
      <c r="E44" s="10"/>
      <c r="F44" s="13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H44" s="14">
        <f t="shared" si="0"/>
        <v>0</v>
      </c>
      <c r="AJ44" s="15">
        <v>0</v>
      </c>
      <c r="AK44" s="16"/>
      <c r="AL44" s="27"/>
      <c r="AM44" s="16"/>
      <c r="AN44" s="17">
        <f t="shared" si="1"/>
        <v>0</v>
      </c>
      <c r="AP44" s="18"/>
      <c r="AQ44" s="10"/>
      <c r="AR44" s="17">
        <f t="shared" si="2"/>
        <v>0</v>
      </c>
      <c r="AT44" s="19"/>
      <c r="AV44" s="10"/>
      <c r="AW44" s="17">
        <f t="shared" si="3"/>
        <v>0</v>
      </c>
      <c r="AY44" s="13"/>
      <c r="AZ44" s="17">
        <f t="shared" si="4"/>
        <v>0</v>
      </c>
      <c r="BA44" s="20">
        <f t="shared" si="5"/>
        <v>0</v>
      </c>
      <c r="BC44" s="10"/>
      <c r="BD44" s="17"/>
      <c r="BE44" s="17"/>
      <c r="BG44" s="18">
        <f t="shared" si="15"/>
        <v>0</v>
      </c>
      <c r="BH44" s="10">
        <f t="shared" si="14"/>
        <v>0</v>
      </c>
      <c r="BI44" s="17"/>
      <c r="BJ44" s="21" t="str">
        <f t="shared" si="10"/>
        <v>nenhuma</v>
      </c>
      <c r="BK44" s="17"/>
    </row>
    <row r="45" spans="1:63" x14ac:dyDescent="0.25">
      <c r="A45" s="8">
        <v>41</v>
      </c>
      <c r="B45" s="18"/>
      <c r="C45" s="10"/>
      <c r="D45" s="10"/>
      <c r="E45" s="10"/>
      <c r="F45" s="13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H45" s="14">
        <f t="shared" si="0"/>
        <v>0</v>
      </c>
      <c r="AJ45" s="15">
        <v>0</v>
      </c>
      <c r="AK45" s="16"/>
      <c r="AL45" s="27"/>
      <c r="AM45" s="16"/>
      <c r="AN45" s="17">
        <f t="shared" si="1"/>
        <v>0</v>
      </c>
      <c r="AP45" s="18"/>
      <c r="AQ45" s="10"/>
      <c r="AR45" s="17">
        <f t="shared" si="2"/>
        <v>0</v>
      </c>
      <c r="AT45" s="19"/>
      <c r="AV45" s="10"/>
      <c r="AW45" s="17">
        <f t="shared" si="3"/>
        <v>0</v>
      </c>
      <c r="AY45" s="13"/>
      <c r="AZ45" s="17">
        <f t="shared" si="4"/>
        <v>0</v>
      </c>
      <c r="BA45" s="20">
        <f t="shared" si="5"/>
        <v>0</v>
      </c>
      <c r="BC45" s="10"/>
      <c r="BD45" s="17"/>
      <c r="BE45" s="17"/>
      <c r="BG45" s="18">
        <f t="shared" si="15"/>
        <v>0</v>
      </c>
      <c r="BH45" s="10">
        <f t="shared" si="14"/>
        <v>0</v>
      </c>
      <c r="BI45" s="17"/>
      <c r="BJ45" s="21" t="str">
        <f t="shared" si="10"/>
        <v>nenhuma</v>
      </c>
      <c r="BK45" s="17"/>
    </row>
    <row r="46" spans="1:63" x14ac:dyDescent="0.25">
      <c r="A46" s="8">
        <v>42</v>
      </c>
      <c r="B46" s="18"/>
      <c r="C46" s="10"/>
      <c r="D46" s="10"/>
      <c r="E46" s="10"/>
      <c r="F46" s="13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H46" s="14">
        <f t="shared" si="0"/>
        <v>0</v>
      </c>
      <c r="AJ46" s="15">
        <v>0</v>
      </c>
      <c r="AK46" s="16"/>
      <c r="AL46" s="27"/>
      <c r="AM46" s="16"/>
      <c r="AN46" s="17">
        <f t="shared" si="1"/>
        <v>0</v>
      </c>
      <c r="AP46" s="18"/>
      <c r="AQ46" s="10"/>
      <c r="AR46" s="17">
        <f t="shared" si="2"/>
        <v>0</v>
      </c>
      <c r="AT46" s="19"/>
      <c r="AV46" s="10"/>
      <c r="AW46" s="17">
        <f t="shared" si="3"/>
        <v>0</v>
      </c>
      <c r="AY46" s="13"/>
      <c r="AZ46" s="17">
        <f t="shared" si="4"/>
        <v>0</v>
      </c>
      <c r="BA46" s="20">
        <f t="shared" si="5"/>
        <v>0</v>
      </c>
      <c r="BC46" s="10"/>
      <c r="BD46" s="17"/>
      <c r="BE46" s="17"/>
      <c r="BG46" s="18">
        <f t="shared" si="15"/>
        <v>0</v>
      </c>
      <c r="BH46" s="10">
        <f t="shared" si="14"/>
        <v>0</v>
      </c>
      <c r="BI46" s="17"/>
      <c r="BJ46" s="21" t="str">
        <f t="shared" si="10"/>
        <v>nenhuma</v>
      </c>
      <c r="BK46" s="17"/>
    </row>
    <row r="47" spans="1:63" x14ac:dyDescent="0.25">
      <c r="A47" s="8">
        <v>43</v>
      </c>
      <c r="B47" s="18"/>
      <c r="C47" s="10"/>
      <c r="D47" s="10"/>
      <c r="E47" s="10"/>
      <c r="F47" s="13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H47" s="14">
        <f t="shared" si="0"/>
        <v>0</v>
      </c>
      <c r="AJ47" s="15">
        <v>0</v>
      </c>
      <c r="AK47" s="16"/>
      <c r="AL47" s="27"/>
      <c r="AM47" s="16"/>
      <c r="AN47" s="17">
        <f t="shared" si="1"/>
        <v>0</v>
      </c>
      <c r="AP47" s="18"/>
      <c r="AQ47" s="10"/>
      <c r="AR47" s="17">
        <f t="shared" si="2"/>
        <v>0</v>
      </c>
      <c r="AT47" s="19"/>
      <c r="AV47" s="10"/>
      <c r="AW47" s="17">
        <f t="shared" si="3"/>
        <v>0</v>
      </c>
      <c r="AY47" s="13"/>
      <c r="AZ47" s="17">
        <f t="shared" si="4"/>
        <v>0</v>
      </c>
      <c r="BA47" s="20">
        <f t="shared" si="5"/>
        <v>0</v>
      </c>
      <c r="BC47" s="10">
        <f>AV47</f>
        <v>0</v>
      </c>
      <c r="BD47" s="17">
        <f>IF(BC47="","",SUMIF($AT$5:$AT$220,"="&amp;BC47,$AZ$5:$AZ$220))</f>
        <v>0</v>
      </c>
      <c r="BE47" s="17">
        <f>IF(AW47&gt;=0,IF(BD47&gt;=0,AW47-BD47,0),0)</f>
        <v>0</v>
      </c>
      <c r="BG47" s="18">
        <f t="shared" si="15"/>
        <v>0</v>
      </c>
      <c r="BH47" s="10">
        <f t="shared" si="14"/>
        <v>0</v>
      </c>
      <c r="BI47" s="17">
        <f>IF(BG47="","",IF(BH47="",SUMIF($B$5:$B$220,"="&amp;BG47,$AZ$5:$AZ$220),SUMIFS($AZ$5:$AZ$220, $B$5:$B$220, "="&amp;BG47, $C$5:$C$220,"="&amp;BH47)))</f>
        <v>0</v>
      </c>
      <c r="BJ47" s="21" t="str">
        <f t="shared" si="10"/>
        <v>nenhuma</v>
      </c>
      <c r="BK47" s="17">
        <f>IF(AR47&gt;0,IF(BI47&gt;=0,AR47-BI47,0),0)</f>
        <v>0</v>
      </c>
    </row>
    <row r="48" spans="1:63" x14ac:dyDescent="0.25">
      <c r="A48" s="8">
        <v>44</v>
      </c>
      <c r="B48" s="18"/>
      <c r="C48" s="10"/>
      <c r="D48" s="10"/>
      <c r="E48" s="10"/>
      <c r="F48" s="13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H48" s="14">
        <f t="shared" si="0"/>
        <v>0</v>
      </c>
      <c r="AJ48" s="15">
        <v>0</v>
      </c>
      <c r="AK48" s="16"/>
      <c r="AL48" s="27"/>
      <c r="AM48" s="16"/>
      <c r="AN48" s="17">
        <f t="shared" si="1"/>
        <v>0</v>
      </c>
      <c r="AP48" s="18"/>
      <c r="AQ48" s="10"/>
      <c r="AR48" s="17">
        <f t="shared" si="2"/>
        <v>0</v>
      </c>
      <c r="AT48" s="19"/>
      <c r="AV48" s="10"/>
      <c r="AW48" s="17">
        <f t="shared" si="3"/>
        <v>0</v>
      </c>
      <c r="AY48" s="13"/>
      <c r="AZ48" s="17">
        <f t="shared" si="4"/>
        <v>0</v>
      </c>
      <c r="BA48" s="20">
        <f t="shared" si="5"/>
        <v>0</v>
      </c>
      <c r="BC48" s="10"/>
      <c r="BD48" s="17"/>
      <c r="BE48" s="17"/>
      <c r="BG48" s="18">
        <f t="shared" si="15"/>
        <v>0</v>
      </c>
      <c r="BH48" s="10">
        <f t="shared" si="14"/>
        <v>0</v>
      </c>
      <c r="BI48" s="17"/>
      <c r="BJ48" s="21" t="str">
        <f t="shared" si="10"/>
        <v>nenhuma</v>
      </c>
      <c r="BK48" s="17"/>
    </row>
    <row r="49" spans="1:63" x14ac:dyDescent="0.25">
      <c r="A49" s="8">
        <v>45</v>
      </c>
      <c r="B49" s="18"/>
      <c r="C49" s="10"/>
      <c r="D49" s="10"/>
      <c r="E49" s="10"/>
      <c r="F49" s="13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H49" s="14">
        <f t="shared" si="0"/>
        <v>0</v>
      </c>
      <c r="AJ49" s="15">
        <v>0</v>
      </c>
      <c r="AK49" s="16"/>
      <c r="AL49" s="27"/>
      <c r="AM49" s="16"/>
      <c r="AN49" s="17">
        <f t="shared" si="1"/>
        <v>0</v>
      </c>
      <c r="AP49" s="18"/>
      <c r="AQ49" s="10"/>
      <c r="AR49" s="17">
        <f t="shared" si="2"/>
        <v>0</v>
      </c>
      <c r="AT49" s="19"/>
      <c r="AV49" s="10"/>
      <c r="AW49" s="17">
        <f t="shared" si="3"/>
        <v>0</v>
      </c>
      <c r="AY49" s="13"/>
      <c r="AZ49" s="17">
        <f t="shared" si="4"/>
        <v>0</v>
      </c>
      <c r="BA49" s="20">
        <f t="shared" si="5"/>
        <v>0</v>
      </c>
      <c r="BC49" s="10"/>
      <c r="BD49" s="17"/>
      <c r="BE49" s="17"/>
      <c r="BG49" s="18">
        <f t="shared" si="15"/>
        <v>0</v>
      </c>
      <c r="BH49" s="10">
        <f t="shared" si="14"/>
        <v>0</v>
      </c>
      <c r="BI49" s="17"/>
      <c r="BJ49" s="21" t="str">
        <f t="shared" si="10"/>
        <v>nenhuma</v>
      </c>
      <c r="BK49" s="17"/>
    </row>
    <row r="50" spans="1:63" x14ac:dyDescent="0.25">
      <c r="A50" s="8">
        <v>46</v>
      </c>
      <c r="B50" s="18"/>
      <c r="C50" s="10"/>
      <c r="D50" s="10"/>
      <c r="E50" s="10"/>
      <c r="F50" s="13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H50" s="14">
        <f t="shared" si="0"/>
        <v>0</v>
      </c>
      <c r="AJ50" s="15">
        <v>0</v>
      </c>
      <c r="AK50" s="16"/>
      <c r="AL50" s="27"/>
      <c r="AM50" s="16"/>
      <c r="AN50" s="17">
        <f t="shared" si="1"/>
        <v>0</v>
      </c>
      <c r="AP50" s="18"/>
      <c r="AQ50" s="10"/>
      <c r="AR50" s="17">
        <f t="shared" si="2"/>
        <v>0</v>
      </c>
      <c r="AT50" s="19"/>
      <c r="AV50" s="10"/>
      <c r="AW50" s="17">
        <f t="shared" si="3"/>
        <v>0</v>
      </c>
      <c r="AY50" s="13"/>
      <c r="AZ50" s="17">
        <f t="shared" si="4"/>
        <v>0</v>
      </c>
      <c r="BA50" s="20">
        <f t="shared" si="5"/>
        <v>0</v>
      </c>
      <c r="BC50" s="10"/>
      <c r="BD50" s="17"/>
      <c r="BE50" s="17"/>
      <c r="BG50" s="18">
        <f t="shared" si="15"/>
        <v>0</v>
      </c>
      <c r="BH50" s="10">
        <f t="shared" si="14"/>
        <v>0</v>
      </c>
      <c r="BI50" s="17"/>
      <c r="BJ50" s="21" t="str">
        <f t="shared" si="10"/>
        <v>nenhuma</v>
      </c>
      <c r="BK50" s="17"/>
    </row>
    <row r="51" spans="1:63" x14ac:dyDescent="0.25">
      <c r="A51" s="8">
        <v>47</v>
      </c>
      <c r="B51" s="18"/>
      <c r="C51" s="10"/>
      <c r="D51" s="10"/>
      <c r="E51" s="10"/>
      <c r="F51" s="13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H51" s="14">
        <f t="shared" si="0"/>
        <v>0</v>
      </c>
      <c r="AJ51" s="15">
        <v>0</v>
      </c>
      <c r="AK51" s="16"/>
      <c r="AL51" s="27"/>
      <c r="AM51" s="16"/>
      <c r="AN51" s="17">
        <f t="shared" si="1"/>
        <v>0</v>
      </c>
      <c r="AP51" s="18"/>
      <c r="AQ51" s="10"/>
      <c r="AR51" s="17">
        <f t="shared" si="2"/>
        <v>0</v>
      </c>
      <c r="AT51" s="19"/>
      <c r="AV51" s="10"/>
      <c r="AW51" s="17">
        <f t="shared" si="3"/>
        <v>0</v>
      </c>
      <c r="AY51" s="13"/>
      <c r="AZ51" s="17">
        <f t="shared" si="4"/>
        <v>0</v>
      </c>
      <c r="BA51" s="20">
        <f t="shared" si="5"/>
        <v>0</v>
      </c>
      <c r="BC51" s="10">
        <f>AV51</f>
        <v>0</v>
      </c>
      <c r="BD51" s="17">
        <f>IF(BC51="","",SUMIF($AT$5:$AT$220,"="&amp;BC51,$AZ$5:$AZ$220))</f>
        <v>0</v>
      </c>
      <c r="BE51" s="17">
        <f>IF(AW51&gt;=0,IF(BD51&gt;=0,AW51-BD51,0),0)</f>
        <v>0</v>
      </c>
      <c r="BG51" s="18">
        <f t="shared" si="15"/>
        <v>0</v>
      </c>
      <c r="BH51" s="10">
        <f t="shared" si="14"/>
        <v>0</v>
      </c>
      <c r="BI51" s="17">
        <f>IF(BG51="","",IF(BH51="",SUMIF($B$5:$B$220,"="&amp;BG51,$AZ$5:$AZ$220),SUMIFS($AZ$5:$AZ$220, $B$5:$B$220, "="&amp;BG51, $C$5:$C$220,"="&amp;BH51)))</f>
        <v>0</v>
      </c>
      <c r="BJ51" s="21" t="str">
        <f t="shared" si="10"/>
        <v>nenhuma</v>
      </c>
      <c r="BK51" s="17">
        <f>IF(AR51&gt;0,IF(BI51&gt;=0,AR51-BI51,0),0)</f>
        <v>0</v>
      </c>
    </row>
    <row r="52" spans="1:63" x14ac:dyDescent="0.25">
      <c r="A52" s="8">
        <v>48</v>
      </c>
      <c r="B52" s="18"/>
      <c r="C52" s="10"/>
      <c r="D52" s="10"/>
      <c r="E52" s="10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H52" s="14">
        <f t="shared" si="0"/>
        <v>0</v>
      </c>
      <c r="AJ52" s="15">
        <v>0</v>
      </c>
      <c r="AK52" s="16"/>
      <c r="AL52" s="27"/>
      <c r="AM52" s="16"/>
      <c r="AN52" s="17">
        <f t="shared" si="1"/>
        <v>0</v>
      </c>
      <c r="AP52" s="18"/>
      <c r="AQ52" s="10"/>
      <c r="AR52" s="17">
        <f t="shared" si="2"/>
        <v>0</v>
      </c>
      <c r="AT52" s="19"/>
      <c r="AV52" s="10"/>
      <c r="AW52" s="17">
        <f t="shared" si="3"/>
        <v>0</v>
      </c>
      <c r="AY52" s="13"/>
      <c r="AZ52" s="17">
        <f t="shared" si="4"/>
        <v>0</v>
      </c>
      <c r="BA52" s="20">
        <f t="shared" si="5"/>
        <v>0</v>
      </c>
      <c r="BC52" s="10">
        <f>AV52</f>
        <v>0</v>
      </c>
      <c r="BD52" s="17">
        <f>IF(BC52="","",SUMIF($AT$5:$AT$220,"="&amp;BC52,$AZ$5:$AZ$220))</f>
        <v>0</v>
      </c>
      <c r="BE52" s="17">
        <f>IF(AW52&gt;=0,IF(BD52&gt;=0,AW52-BD52,0),0)</f>
        <v>0</v>
      </c>
      <c r="BG52" s="18">
        <f t="shared" si="15"/>
        <v>0</v>
      </c>
      <c r="BH52" s="10">
        <f t="shared" si="14"/>
        <v>0</v>
      </c>
      <c r="BI52" s="17">
        <f>IF(BG52="","",IF(BH52="",SUMIF($B$5:$B$220,"="&amp;BG52,$AZ$5:$AZ$220),SUMIFS($AZ$5:$AZ$220, $B$5:$B$220, "="&amp;BG52, $C$5:$C$220,"="&amp;BH52)))</f>
        <v>0</v>
      </c>
      <c r="BJ52" s="21" t="str">
        <f t="shared" si="10"/>
        <v>nenhuma</v>
      </c>
      <c r="BK52" s="17">
        <f>IF(AR52&gt;0,IF(BI52&gt;=0,AR52-BI52,0),0)</f>
        <v>0</v>
      </c>
    </row>
    <row r="53" spans="1:63" x14ac:dyDescent="0.25">
      <c r="A53" s="8">
        <v>49</v>
      </c>
      <c r="B53" s="18"/>
      <c r="C53" s="10"/>
      <c r="D53" s="10"/>
      <c r="E53" s="10"/>
      <c r="F53" s="13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H53" s="14">
        <f t="shared" si="0"/>
        <v>0</v>
      </c>
      <c r="AJ53" s="15">
        <v>0</v>
      </c>
      <c r="AK53" s="16"/>
      <c r="AL53" s="27"/>
      <c r="AM53" s="16"/>
      <c r="AN53" s="17">
        <f t="shared" si="1"/>
        <v>0</v>
      </c>
      <c r="AP53" s="18"/>
      <c r="AQ53" s="10"/>
      <c r="AR53" s="17">
        <f t="shared" si="2"/>
        <v>0</v>
      </c>
      <c r="AT53" s="19"/>
      <c r="AV53" s="10"/>
      <c r="AW53" s="17">
        <f t="shared" si="3"/>
        <v>0</v>
      </c>
      <c r="AY53" s="13"/>
      <c r="AZ53" s="17">
        <f t="shared" si="4"/>
        <v>0</v>
      </c>
      <c r="BA53" s="20">
        <f t="shared" si="5"/>
        <v>0</v>
      </c>
      <c r="BC53" s="10"/>
      <c r="BD53" s="17"/>
      <c r="BE53" s="17"/>
      <c r="BG53" s="18">
        <f t="shared" si="15"/>
        <v>0</v>
      </c>
      <c r="BH53" s="10">
        <f t="shared" si="14"/>
        <v>0</v>
      </c>
      <c r="BI53" s="17"/>
      <c r="BJ53" s="21" t="str">
        <f t="shared" si="10"/>
        <v>nenhuma</v>
      </c>
      <c r="BK53" s="17"/>
    </row>
    <row r="54" spans="1:63" x14ac:dyDescent="0.25">
      <c r="A54" s="8">
        <v>50</v>
      </c>
      <c r="B54" s="18"/>
      <c r="C54" s="10"/>
      <c r="D54" s="10"/>
      <c r="E54" s="10"/>
      <c r="F54" s="13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H54" s="14">
        <f t="shared" si="0"/>
        <v>0</v>
      </c>
      <c r="AJ54" s="15">
        <v>0</v>
      </c>
      <c r="AK54" s="16"/>
      <c r="AL54" s="27"/>
      <c r="AM54" s="16"/>
      <c r="AN54" s="17">
        <f t="shared" si="1"/>
        <v>0</v>
      </c>
      <c r="AP54" s="18"/>
      <c r="AQ54" s="10"/>
      <c r="AR54" s="17">
        <f t="shared" si="2"/>
        <v>0</v>
      </c>
      <c r="AT54" s="19"/>
      <c r="AV54" s="10"/>
      <c r="AW54" s="17">
        <f t="shared" si="3"/>
        <v>0</v>
      </c>
      <c r="AY54" s="13"/>
      <c r="AZ54" s="17">
        <f t="shared" si="4"/>
        <v>0</v>
      </c>
      <c r="BA54" s="20">
        <f t="shared" si="5"/>
        <v>0</v>
      </c>
      <c r="BC54" s="10">
        <f>AV54</f>
        <v>0</v>
      </c>
      <c r="BD54" s="17">
        <f>IF(BC54="","",SUMIF($AT$5:$AT$220,"="&amp;BC54,$AZ$5:$AZ$220))</f>
        <v>0</v>
      </c>
      <c r="BE54" s="17">
        <f>IF(AW54&gt;=0,IF(BD54&gt;=0,AW54-BD54,0),0)</f>
        <v>0</v>
      </c>
      <c r="BG54" s="18">
        <f t="shared" si="15"/>
        <v>0</v>
      </c>
      <c r="BH54" s="10">
        <f t="shared" si="14"/>
        <v>0</v>
      </c>
      <c r="BI54" s="17">
        <f>IF(BG54="","",IF(BH54="",SUMIF($B$5:$B$220,"="&amp;BG54,$AZ$5:$AZ$220),SUMIFS($AZ$5:$AZ$220, $B$5:$B$220, "="&amp;BG54, $C$5:$C$220,"="&amp;BH54)))</f>
        <v>0</v>
      </c>
      <c r="BJ54" s="21" t="str">
        <f t="shared" si="10"/>
        <v>nenhuma</v>
      </c>
      <c r="BK54" s="17">
        <f>IF(AR54&gt;0,IF(BI54&gt;=0,AR54-BI54,0),0)</f>
        <v>0</v>
      </c>
    </row>
    <row r="55" spans="1:63" x14ac:dyDescent="0.25">
      <c r="A55" s="8">
        <v>51</v>
      </c>
      <c r="B55" s="18"/>
      <c r="C55" s="10"/>
      <c r="D55" s="10"/>
      <c r="E55" s="10"/>
      <c r="F55" s="13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H55" s="14">
        <f t="shared" si="0"/>
        <v>0</v>
      </c>
      <c r="AJ55" s="15">
        <v>0</v>
      </c>
      <c r="AK55" s="16"/>
      <c r="AL55" s="27"/>
      <c r="AM55" s="16"/>
      <c r="AN55" s="17">
        <f t="shared" si="1"/>
        <v>0</v>
      </c>
      <c r="AP55" s="18"/>
      <c r="AQ55" s="10"/>
      <c r="AR55" s="17">
        <f t="shared" si="2"/>
        <v>0</v>
      </c>
      <c r="AT55" s="19"/>
      <c r="AV55" s="10"/>
      <c r="AW55" s="17">
        <f t="shared" si="3"/>
        <v>0</v>
      </c>
      <c r="AY55" s="13"/>
      <c r="AZ55" s="17">
        <f t="shared" si="4"/>
        <v>0</v>
      </c>
      <c r="BA55" s="20">
        <f t="shared" si="5"/>
        <v>0</v>
      </c>
      <c r="BC55" s="10">
        <f>AV55</f>
        <v>0</v>
      </c>
      <c r="BD55" s="17">
        <f>IF(BC55="","",SUMIF($AT$5:$AT$220,"="&amp;BC55,$AZ$5:$AZ$220))</f>
        <v>0</v>
      </c>
      <c r="BE55" s="17">
        <f>IF(AW55&gt;=0,IF(BD55&gt;=0,AW55-BD55,0),0)</f>
        <v>0</v>
      </c>
      <c r="BG55" s="18">
        <f t="shared" si="15"/>
        <v>0</v>
      </c>
      <c r="BH55" s="10">
        <f t="shared" si="14"/>
        <v>0</v>
      </c>
      <c r="BI55" s="17">
        <f>IF(BG55="","",IF(BH55="",SUMIF($B$5:$B$220,"="&amp;BG55,$AZ$5:$AZ$220),SUMIFS($AZ$5:$AZ$220, $B$5:$B$220, "="&amp;BG55, $C$5:$C$220,"="&amp;BH55)))</f>
        <v>0</v>
      </c>
      <c r="BJ55" s="21" t="str">
        <f t="shared" si="10"/>
        <v>nenhuma</v>
      </c>
      <c r="BK55" s="17">
        <f>IF(AR55&gt;0,IF(BI55&gt;=0,AR55-BI55,0),0)</f>
        <v>0</v>
      </c>
    </row>
    <row r="56" spans="1:63" x14ac:dyDescent="0.25">
      <c r="A56" s="8">
        <v>52</v>
      </c>
      <c r="B56" s="18"/>
      <c r="C56" s="10"/>
      <c r="D56" s="10"/>
      <c r="E56" s="10"/>
      <c r="F56" s="13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H56" s="14">
        <f t="shared" si="0"/>
        <v>0</v>
      </c>
      <c r="AJ56" s="15">
        <v>0</v>
      </c>
      <c r="AK56" s="16"/>
      <c r="AL56" s="27"/>
      <c r="AM56" s="16"/>
      <c r="AN56" s="17">
        <f t="shared" si="1"/>
        <v>0</v>
      </c>
      <c r="AP56" s="18"/>
      <c r="AQ56" s="10"/>
      <c r="AR56" s="17">
        <f t="shared" si="2"/>
        <v>0</v>
      </c>
      <c r="AT56" s="19"/>
      <c r="AV56" s="10"/>
      <c r="AW56" s="17">
        <f t="shared" si="3"/>
        <v>0</v>
      </c>
      <c r="AY56" s="13"/>
      <c r="AZ56" s="17">
        <f t="shared" si="4"/>
        <v>0</v>
      </c>
      <c r="BA56" s="20">
        <f t="shared" si="5"/>
        <v>0</v>
      </c>
      <c r="BC56" s="10">
        <f>AV56</f>
        <v>0</v>
      </c>
      <c r="BD56" s="17">
        <f>IF(BC56="","",SUMIF($AT$5:$AT$220,"="&amp;BC56,$AZ$5:$AZ$220))</f>
        <v>0</v>
      </c>
      <c r="BE56" s="17">
        <f>IF(AW56&gt;=0,IF(BD56&gt;=0,AW56-BD56,0),0)</f>
        <v>0</v>
      </c>
      <c r="BG56" s="18">
        <f t="shared" si="15"/>
        <v>0</v>
      </c>
      <c r="BH56" s="10">
        <f t="shared" si="14"/>
        <v>0</v>
      </c>
      <c r="BI56" s="17">
        <f>IF(BG56="","",IF(BH56="",SUMIF($B$5:$B$220,"="&amp;BG56,$AZ$5:$AZ$220),SUMIFS($AZ$5:$AZ$220, $B$5:$B$220, "="&amp;BG56, $C$5:$C$220,"="&amp;BH56)))</f>
        <v>0</v>
      </c>
      <c r="BJ56" s="21" t="str">
        <f t="shared" si="10"/>
        <v>nenhuma</v>
      </c>
      <c r="BK56" s="17">
        <f>IF(AR56&gt;0,IF(BI56&gt;=0,AR56-BI56,0),0)</f>
        <v>0</v>
      </c>
    </row>
    <row r="57" spans="1:63" x14ac:dyDescent="0.25">
      <c r="A57" s="8">
        <v>53</v>
      </c>
      <c r="B57" s="18"/>
      <c r="C57" s="10"/>
      <c r="D57" s="10"/>
      <c r="E57" s="10"/>
      <c r="F57" s="13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H57" s="14">
        <f t="shared" si="0"/>
        <v>0</v>
      </c>
      <c r="AJ57" s="15">
        <v>0</v>
      </c>
      <c r="AK57" s="16"/>
      <c r="AL57" s="27"/>
      <c r="AM57" s="16"/>
      <c r="AN57" s="17">
        <f t="shared" si="1"/>
        <v>0</v>
      </c>
      <c r="AP57" s="18"/>
      <c r="AQ57" s="10"/>
      <c r="AR57" s="17">
        <f t="shared" si="2"/>
        <v>0</v>
      </c>
      <c r="AT57" s="19"/>
      <c r="AV57" s="10"/>
      <c r="AW57" s="17">
        <f t="shared" si="3"/>
        <v>0</v>
      </c>
      <c r="AY57" s="13"/>
      <c r="AZ57" s="17">
        <f t="shared" si="4"/>
        <v>0</v>
      </c>
      <c r="BA57" s="20">
        <f t="shared" si="5"/>
        <v>0</v>
      </c>
      <c r="BC57" s="10"/>
      <c r="BD57" s="17"/>
      <c r="BE57" s="17"/>
      <c r="BG57" s="18">
        <f t="shared" si="15"/>
        <v>0</v>
      </c>
      <c r="BH57" s="10">
        <f t="shared" si="14"/>
        <v>0</v>
      </c>
      <c r="BI57" s="17"/>
      <c r="BJ57" s="21" t="str">
        <f t="shared" si="10"/>
        <v>nenhuma</v>
      </c>
      <c r="BK57" s="17"/>
    </row>
    <row r="58" spans="1:63" x14ac:dyDescent="0.25">
      <c r="A58" s="8">
        <v>54</v>
      </c>
      <c r="B58" s="18"/>
      <c r="C58" s="10"/>
      <c r="D58" s="10"/>
      <c r="E58" s="10"/>
      <c r="F58" s="13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H58" s="14">
        <f t="shared" si="0"/>
        <v>0</v>
      </c>
      <c r="AJ58" s="15">
        <v>0</v>
      </c>
      <c r="AK58" s="16"/>
      <c r="AL58" s="27"/>
      <c r="AM58" s="16"/>
      <c r="AN58" s="17">
        <f t="shared" si="1"/>
        <v>0</v>
      </c>
      <c r="AP58" s="18"/>
      <c r="AQ58" s="10"/>
      <c r="AR58" s="17">
        <f t="shared" si="2"/>
        <v>0</v>
      </c>
      <c r="AT58" s="19"/>
      <c r="AV58" s="10"/>
      <c r="AW58" s="17">
        <f t="shared" si="3"/>
        <v>0</v>
      </c>
      <c r="AY58" s="13"/>
      <c r="AZ58" s="17">
        <f t="shared" si="4"/>
        <v>0</v>
      </c>
      <c r="BA58" s="20">
        <f t="shared" si="5"/>
        <v>0</v>
      </c>
      <c r="BC58" s="10"/>
      <c r="BD58" s="17"/>
      <c r="BE58" s="17"/>
      <c r="BG58" s="18">
        <f t="shared" si="15"/>
        <v>0</v>
      </c>
      <c r="BH58" s="10">
        <f t="shared" si="14"/>
        <v>0</v>
      </c>
      <c r="BI58" s="17"/>
      <c r="BJ58" s="21" t="str">
        <f t="shared" si="10"/>
        <v>nenhuma</v>
      </c>
      <c r="BK58" s="17"/>
    </row>
    <row r="59" spans="1:63" x14ac:dyDescent="0.25">
      <c r="A59" s="8">
        <v>55</v>
      </c>
      <c r="B59" s="18"/>
      <c r="C59" s="10"/>
      <c r="D59" s="10"/>
      <c r="E59" s="10"/>
      <c r="F59" s="13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H59" s="14">
        <f t="shared" si="0"/>
        <v>0</v>
      </c>
      <c r="AJ59" s="15">
        <v>0</v>
      </c>
      <c r="AK59" s="16"/>
      <c r="AL59" s="27"/>
      <c r="AM59" s="16"/>
      <c r="AN59" s="17">
        <f t="shared" si="1"/>
        <v>0</v>
      </c>
      <c r="AP59" s="18"/>
      <c r="AQ59" s="10"/>
      <c r="AR59" s="17">
        <f t="shared" si="2"/>
        <v>0</v>
      </c>
      <c r="AT59" s="19"/>
      <c r="AV59" s="10"/>
      <c r="AW59" s="17">
        <f t="shared" si="3"/>
        <v>0</v>
      </c>
      <c r="AY59" s="13"/>
      <c r="AZ59" s="17">
        <f t="shared" si="4"/>
        <v>0</v>
      </c>
      <c r="BA59" s="20">
        <f t="shared" si="5"/>
        <v>0</v>
      </c>
      <c r="BC59" s="10">
        <f t="shared" ref="BC59:BC90" si="16">AV59</f>
        <v>0</v>
      </c>
      <c r="BD59" s="17">
        <f t="shared" ref="BD59:BD90" si="17">IF(BC59="","",SUMIF($AT$5:$AT$220,"="&amp;BC59,$AZ$5:$AZ$220))</f>
        <v>0</v>
      </c>
      <c r="BE59" s="17">
        <f t="shared" ref="BE59:BE90" si="18">IF(AW59&gt;=0,IF(BD59&gt;=0,AW59-BD59,0),0)</f>
        <v>0</v>
      </c>
      <c r="BG59" s="18">
        <f t="shared" si="15"/>
        <v>0</v>
      </c>
      <c r="BH59" s="10">
        <f t="shared" si="14"/>
        <v>0</v>
      </c>
      <c r="BI59" s="17">
        <f t="shared" ref="BI59:BI90" si="19">IF(BG59="","",IF(BH59="",SUMIF($B$5:$B$220,"="&amp;BG59,$AZ$5:$AZ$220),SUMIFS($AZ$5:$AZ$220, $B$5:$B$220, "="&amp;BG59, $C$5:$C$220,"="&amp;BH59)))</f>
        <v>0</v>
      </c>
      <c r="BJ59" s="21" t="str">
        <f t="shared" si="10"/>
        <v>nenhuma</v>
      </c>
      <c r="BK59" s="17">
        <f t="shared" ref="BK59:BK90" si="20">IF(AR59&gt;0,IF(BI59&gt;=0,AR59-BI59,0),0)</f>
        <v>0</v>
      </c>
    </row>
    <row r="60" spans="1:63" x14ac:dyDescent="0.25">
      <c r="A60" s="8">
        <v>56</v>
      </c>
      <c r="B60" s="18"/>
      <c r="C60" s="10"/>
      <c r="D60" s="10"/>
      <c r="E60" s="10"/>
      <c r="F60" s="13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H60" s="14">
        <f t="shared" si="0"/>
        <v>0</v>
      </c>
      <c r="AJ60" s="15">
        <v>0</v>
      </c>
      <c r="AK60" s="16"/>
      <c r="AL60" s="27"/>
      <c r="AM60" s="16"/>
      <c r="AN60" s="17">
        <f t="shared" si="1"/>
        <v>0</v>
      </c>
      <c r="AP60" s="18"/>
      <c r="AQ60" s="10"/>
      <c r="AR60" s="17">
        <f t="shared" si="2"/>
        <v>0</v>
      </c>
      <c r="AT60" s="19"/>
      <c r="AV60" s="10"/>
      <c r="AW60" s="17">
        <f t="shared" si="3"/>
        <v>0</v>
      </c>
      <c r="AY60" s="13"/>
      <c r="AZ60" s="17">
        <f t="shared" si="4"/>
        <v>0</v>
      </c>
      <c r="BA60" s="20">
        <f t="shared" si="5"/>
        <v>0</v>
      </c>
      <c r="BC60" s="10">
        <f t="shared" si="16"/>
        <v>0</v>
      </c>
      <c r="BD60" s="17">
        <f t="shared" si="17"/>
        <v>0</v>
      </c>
      <c r="BE60" s="17">
        <f t="shared" si="18"/>
        <v>0</v>
      </c>
      <c r="BG60" s="18">
        <f t="shared" si="15"/>
        <v>0</v>
      </c>
      <c r="BH60" s="10">
        <f t="shared" si="14"/>
        <v>0</v>
      </c>
      <c r="BI60" s="17">
        <f t="shared" si="19"/>
        <v>0</v>
      </c>
      <c r="BJ60" s="21" t="str">
        <f t="shared" si="10"/>
        <v>nenhuma</v>
      </c>
      <c r="BK60" s="17">
        <f t="shared" si="20"/>
        <v>0</v>
      </c>
    </row>
    <row r="61" spans="1:63" x14ac:dyDescent="0.25">
      <c r="A61" s="8">
        <v>57</v>
      </c>
      <c r="B61" s="18"/>
      <c r="C61" s="10"/>
      <c r="D61" s="10"/>
      <c r="E61" s="10"/>
      <c r="F61" s="13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H61" s="14">
        <f t="shared" si="0"/>
        <v>0</v>
      </c>
      <c r="AJ61" s="15">
        <v>0</v>
      </c>
      <c r="AK61" s="16"/>
      <c r="AL61" s="27"/>
      <c r="AM61" s="16"/>
      <c r="AN61" s="17">
        <f t="shared" si="1"/>
        <v>0</v>
      </c>
      <c r="AP61" s="18"/>
      <c r="AQ61" s="10"/>
      <c r="AR61" s="17">
        <f t="shared" si="2"/>
        <v>0</v>
      </c>
      <c r="AT61" s="19"/>
      <c r="AV61" s="10"/>
      <c r="AW61" s="17">
        <f t="shared" si="3"/>
        <v>0</v>
      </c>
      <c r="AY61" s="13"/>
      <c r="AZ61" s="17">
        <f t="shared" si="4"/>
        <v>0</v>
      </c>
      <c r="BA61" s="20">
        <f t="shared" si="5"/>
        <v>0</v>
      </c>
      <c r="BC61" s="10">
        <f t="shared" si="16"/>
        <v>0</v>
      </c>
      <c r="BD61" s="17">
        <f t="shared" si="17"/>
        <v>0</v>
      </c>
      <c r="BE61" s="17">
        <f t="shared" si="18"/>
        <v>0</v>
      </c>
      <c r="BG61" s="18">
        <f t="shared" si="15"/>
        <v>0</v>
      </c>
      <c r="BH61" s="10">
        <f t="shared" si="14"/>
        <v>0</v>
      </c>
      <c r="BI61" s="17">
        <f t="shared" si="19"/>
        <v>0</v>
      </c>
      <c r="BJ61" s="21" t="str">
        <f t="shared" si="10"/>
        <v>nenhuma</v>
      </c>
      <c r="BK61" s="17">
        <f t="shared" si="20"/>
        <v>0</v>
      </c>
    </row>
    <row r="62" spans="1:63" x14ac:dyDescent="0.25">
      <c r="A62" s="8">
        <v>58</v>
      </c>
      <c r="B62" s="18"/>
      <c r="C62" s="10"/>
      <c r="D62" s="10"/>
      <c r="E62" s="10"/>
      <c r="F62" s="13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H62" s="14">
        <f t="shared" si="0"/>
        <v>0</v>
      </c>
      <c r="AJ62" s="15">
        <v>0</v>
      </c>
      <c r="AK62" s="16"/>
      <c r="AL62" s="27"/>
      <c r="AM62" s="16"/>
      <c r="AN62" s="17">
        <f t="shared" si="1"/>
        <v>0</v>
      </c>
      <c r="AP62" s="18"/>
      <c r="AQ62" s="10"/>
      <c r="AR62" s="17">
        <f t="shared" si="2"/>
        <v>0</v>
      </c>
      <c r="AT62" s="19"/>
      <c r="AV62" s="10"/>
      <c r="AW62" s="17">
        <f t="shared" si="3"/>
        <v>0</v>
      </c>
      <c r="AY62" s="13"/>
      <c r="AZ62" s="17">
        <f t="shared" si="4"/>
        <v>0</v>
      </c>
      <c r="BA62" s="20">
        <f t="shared" si="5"/>
        <v>0</v>
      </c>
      <c r="BC62" s="10">
        <f t="shared" si="16"/>
        <v>0</v>
      </c>
      <c r="BD62" s="17">
        <f t="shared" si="17"/>
        <v>0</v>
      </c>
      <c r="BE62" s="17">
        <f t="shared" si="18"/>
        <v>0</v>
      </c>
      <c r="BG62" s="18">
        <f t="shared" si="15"/>
        <v>0</v>
      </c>
      <c r="BH62" s="10">
        <f t="shared" si="14"/>
        <v>0</v>
      </c>
      <c r="BI62" s="17">
        <f t="shared" si="19"/>
        <v>0</v>
      </c>
      <c r="BJ62" s="21" t="str">
        <f t="shared" si="10"/>
        <v>nenhuma</v>
      </c>
      <c r="BK62" s="17">
        <f t="shared" si="20"/>
        <v>0</v>
      </c>
    </row>
    <row r="63" spans="1:63" x14ac:dyDescent="0.25">
      <c r="A63" s="8">
        <v>59</v>
      </c>
      <c r="B63" s="18"/>
      <c r="C63" s="10"/>
      <c r="D63" s="10"/>
      <c r="E63" s="10"/>
      <c r="F63" s="13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H63" s="14">
        <f t="shared" si="0"/>
        <v>0</v>
      </c>
      <c r="AJ63" s="15">
        <v>0</v>
      </c>
      <c r="AK63" s="16"/>
      <c r="AL63" s="19"/>
      <c r="AM63" s="16"/>
      <c r="AN63" s="17">
        <f t="shared" si="1"/>
        <v>0</v>
      </c>
      <c r="AP63" s="18"/>
      <c r="AQ63" s="10"/>
      <c r="AR63" s="17">
        <f t="shared" si="2"/>
        <v>0</v>
      </c>
      <c r="AT63" s="19"/>
      <c r="AV63" s="10"/>
      <c r="AW63" s="17">
        <f t="shared" si="3"/>
        <v>0</v>
      </c>
      <c r="AY63" s="13"/>
      <c r="AZ63" s="17">
        <f t="shared" si="4"/>
        <v>0</v>
      </c>
      <c r="BA63" s="20">
        <f t="shared" si="5"/>
        <v>0</v>
      </c>
      <c r="BC63" s="10">
        <f t="shared" si="16"/>
        <v>0</v>
      </c>
      <c r="BD63" s="17">
        <f t="shared" si="17"/>
        <v>0</v>
      </c>
      <c r="BE63" s="17">
        <f t="shared" si="18"/>
        <v>0</v>
      </c>
      <c r="BG63" s="18">
        <f t="shared" si="15"/>
        <v>0</v>
      </c>
      <c r="BH63" s="10">
        <f t="shared" si="14"/>
        <v>0</v>
      </c>
      <c r="BI63" s="17">
        <f t="shared" si="19"/>
        <v>0</v>
      </c>
      <c r="BJ63" s="21" t="str">
        <f t="shared" si="10"/>
        <v>nenhuma</v>
      </c>
      <c r="BK63" s="17">
        <f t="shared" si="20"/>
        <v>0</v>
      </c>
    </row>
    <row r="64" spans="1:63" x14ac:dyDescent="0.25">
      <c r="A64" s="8">
        <v>60</v>
      </c>
      <c r="B64" s="18"/>
      <c r="C64" s="10"/>
      <c r="D64" s="10"/>
      <c r="E64" s="10"/>
      <c r="F64" s="13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H64" s="14">
        <f t="shared" si="0"/>
        <v>0</v>
      </c>
      <c r="AJ64" s="15">
        <v>0</v>
      </c>
      <c r="AK64" s="16"/>
      <c r="AL64" s="19"/>
      <c r="AM64" s="16"/>
      <c r="AN64" s="17">
        <f t="shared" si="1"/>
        <v>0</v>
      </c>
      <c r="AP64" s="18"/>
      <c r="AQ64" s="10"/>
      <c r="AR64" s="17">
        <f t="shared" si="2"/>
        <v>0</v>
      </c>
      <c r="AT64" s="19"/>
      <c r="AV64" s="10"/>
      <c r="AW64" s="17">
        <f t="shared" si="3"/>
        <v>0</v>
      </c>
      <c r="AY64" s="13"/>
      <c r="AZ64" s="17">
        <f t="shared" si="4"/>
        <v>0</v>
      </c>
      <c r="BA64" s="20">
        <f t="shared" si="5"/>
        <v>0</v>
      </c>
      <c r="BC64" s="10">
        <f t="shared" si="16"/>
        <v>0</v>
      </c>
      <c r="BD64" s="17">
        <f t="shared" si="17"/>
        <v>0</v>
      </c>
      <c r="BE64" s="17">
        <f t="shared" si="18"/>
        <v>0</v>
      </c>
      <c r="BG64" s="18">
        <f t="shared" si="15"/>
        <v>0</v>
      </c>
      <c r="BH64" s="10">
        <f t="shared" si="14"/>
        <v>0</v>
      </c>
      <c r="BI64" s="17">
        <f t="shared" si="19"/>
        <v>0</v>
      </c>
      <c r="BJ64" s="21" t="str">
        <f t="shared" si="10"/>
        <v>nenhuma</v>
      </c>
      <c r="BK64" s="17">
        <f t="shared" si="20"/>
        <v>0</v>
      </c>
    </row>
    <row r="65" spans="1:63" x14ac:dyDescent="0.25">
      <c r="A65" s="8">
        <v>61</v>
      </c>
      <c r="B65" s="18"/>
      <c r="C65" s="10"/>
      <c r="D65" s="10"/>
      <c r="E65" s="10"/>
      <c r="F65" s="13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H65" s="14">
        <f t="shared" si="0"/>
        <v>0</v>
      </c>
      <c r="AJ65" s="15">
        <v>0</v>
      </c>
      <c r="AK65" s="16"/>
      <c r="AL65" s="19"/>
      <c r="AM65" s="16"/>
      <c r="AN65" s="17">
        <f t="shared" si="1"/>
        <v>0</v>
      </c>
      <c r="AP65" s="18"/>
      <c r="AQ65" s="10"/>
      <c r="AR65" s="17">
        <f t="shared" si="2"/>
        <v>0</v>
      </c>
      <c r="AT65" s="19"/>
      <c r="AV65" s="10"/>
      <c r="AW65" s="17">
        <f t="shared" si="3"/>
        <v>0</v>
      </c>
      <c r="AY65" s="13"/>
      <c r="AZ65" s="17">
        <f t="shared" si="4"/>
        <v>0</v>
      </c>
      <c r="BA65" s="20">
        <f t="shared" si="5"/>
        <v>0</v>
      </c>
      <c r="BC65" s="10">
        <f t="shared" si="16"/>
        <v>0</v>
      </c>
      <c r="BD65" s="17">
        <f t="shared" si="17"/>
        <v>0</v>
      </c>
      <c r="BE65" s="17">
        <f t="shared" si="18"/>
        <v>0</v>
      </c>
      <c r="BG65" s="18">
        <f t="shared" si="15"/>
        <v>0</v>
      </c>
      <c r="BH65" s="10">
        <f t="shared" si="14"/>
        <v>0</v>
      </c>
      <c r="BI65" s="17">
        <f t="shared" si="19"/>
        <v>0</v>
      </c>
      <c r="BJ65" s="21" t="str">
        <f t="shared" si="10"/>
        <v>nenhuma</v>
      </c>
      <c r="BK65" s="17">
        <f t="shared" si="20"/>
        <v>0</v>
      </c>
    </row>
    <row r="66" spans="1:63" x14ac:dyDescent="0.25">
      <c r="A66" s="8">
        <v>62</v>
      </c>
      <c r="B66" s="18"/>
      <c r="C66" s="10"/>
      <c r="D66" s="10"/>
      <c r="E66" s="10"/>
      <c r="F66" s="13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H66" s="14">
        <f t="shared" si="0"/>
        <v>0</v>
      </c>
      <c r="AJ66" s="15">
        <v>0</v>
      </c>
      <c r="AK66" s="16"/>
      <c r="AL66" s="19"/>
      <c r="AM66" s="16"/>
      <c r="AN66" s="17">
        <f t="shared" si="1"/>
        <v>0</v>
      </c>
      <c r="AP66" s="18"/>
      <c r="AQ66" s="10"/>
      <c r="AR66" s="17">
        <f t="shared" si="2"/>
        <v>0</v>
      </c>
      <c r="AT66" s="19"/>
      <c r="AV66" s="10"/>
      <c r="AW66" s="17">
        <f t="shared" si="3"/>
        <v>0</v>
      </c>
      <c r="AY66" s="13"/>
      <c r="AZ66" s="17">
        <f t="shared" si="4"/>
        <v>0</v>
      </c>
      <c r="BA66" s="20">
        <f t="shared" si="5"/>
        <v>0</v>
      </c>
      <c r="BC66" s="10">
        <f t="shared" si="16"/>
        <v>0</v>
      </c>
      <c r="BD66" s="17">
        <f t="shared" si="17"/>
        <v>0</v>
      </c>
      <c r="BE66" s="17">
        <f t="shared" si="18"/>
        <v>0</v>
      </c>
      <c r="BG66" s="18">
        <f t="shared" si="15"/>
        <v>0</v>
      </c>
      <c r="BH66" s="10">
        <f t="shared" si="14"/>
        <v>0</v>
      </c>
      <c r="BI66" s="17">
        <f t="shared" si="19"/>
        <v>0</v>
      </c>
      <c r="BJ66" s="21" t="str">
        <f t="shared" si="10"/>
        <v>nenhuma</v>
      </c>
      <c r="BK66" s="17">
        <f t="shared" si="20"/>
        <v>0</v>
      </c>
    </row>
    <row r="67" spans="1:63" x14ac:dyDescent="0.25">
      <c r="A67" s="8">
        <v>63</v>
      </c>
      <c r="B67" s="18"/>
      <c r="C67" s="10"/>
      <c r="D67" s="10"/>
      <c r="E67" s="10"/>
      <c r="F67" s="13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H67" s="14">
        <f t="shared" si="0"/>
        <v>0</v>
      </c>
      <c r="AJ67" s="15">
        <v>0</v>
      </c>
      <c r="AK67" s="16"/>
      <c r="AL67" s="19"/>
      <c r="AM67" s="16"/>
      <c r="AN67" s="17">
        <f t="shared" si="1"/>
        <v>0</v>
      </c>
      <c r="AP67" s="18"/>
      <c r="AQ67" s="10"/>
      <c r="AR67" s="17">
        <f t="shared" si="2"/>
        <v>0</v>
      </c>
      <c r="AT67" s="19"/>
      <c r="AV67" s="10"/>
      <c r="AW67" s="17">
        <f t="shared" si="3"/>
        <v>0</v>
      </c>
      <c r="AY67" s="13"/>
      <c r="AZ67" s="17">
        <f t="shared" si="4"/>
        <v>0</v>
      </c>
      <c r="BA67" s="20">
        <f t="shared" si="5"/>
        <v>0</v>
      </c>
      <c r="BC67" s="10">
        <f t="shared" si="16"/>
        <v>0</v>
      </c>
      <c r="BD67" s="17">
        <f t="shared" si="17"/>
        <v>0</v>
      </c>
      <c r="BE67" s="17">
        <f t="shared" si="18"/>
        <v>0</v>
      </c>
      <c r="BG67" s="18">
        <f t="shared" si="15"/>
        <v>0</v>
      </c>
      <c r="BH67" s="10">
        <f t="shared" si="14"/>
        <v>0</v>
      </c>
      <c r="BI67" s="17">
        <f t="shared" si="19"/>
        <v>0</v>
      </c>
      <c r="BJ67" s="21" t="str">
        <f t="shared" si="10"/>
        <v>nenhuma</v>
      </c>
      <c r="BK67" s="17">
        <f t="shared" si="20"/>
        <v>0</v>
      </c>
    </row>
    <row r="68" spans="1:63" x14ac:dyDescent="0.25">
      <c r="A68" s="8">
        <v>64</v>
      </c>
      <c r="B68" s="18"/>
      <c r="C68" s="10"/>
      <c r="D68" s="10"/>
      <c r="E68" s="10"/>
      <c r="F68" s="13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H68" s="14">
        <f t="shared" si="0"/>
        <v>0</v>
      </c>
      <c r="AJ68" s="15">
        <v>0</v>
      </c>
      <c r="AK68" s="16"/>
      <c r="AL68" s="19"/>
      <c r="AM68" s="16"/>
      <c r="AN68" s="17">
        <f t="shared" si="1"/>
        <v>0</v>
      </c>
      <c r="AP68" s="18"/>
      <c r="AQ68" s="10"/>
      <c r="AR68" s="17">
        <f t="shared" si="2"/>
        <v>0</v>
      </c>
      <c r="AT68" s="19"/>
      <c r="AV68" s="10"/>
      <c r="AW68" s="17">
        <f t="shared" si="3"/>
        <v>0</v>
      </c>
      <c r="AY68" s="13"/>
      <c r="AZ68" s="17">
        <f t="shared" si="4"/>
        <v>0</v>
      </c>
      <c r="BA68" s="20">
        <f t="shared" si="5"/>
        <v>0</v>
      </c>
      <c r="BC68" s="10">
        <f t="shared" si="16"/>
        <v>0</v>
      </c>
      <c r="BD68" s="17">
        <f t="shared" si="17"/>
        <v>0</v>
      </c>
      <c r="BE68" s="17">
        <f t="shared" si="18"/>
        <v>0</v>
      </c>
      <c r="BG68" s="18">
        <f t="shared" si="15"/>
        <v>0</v>
      </c>
      <c r="BH68" s="10">
        <f t="shared" si="14"/>
        <v>0</v>
      </c>
      <c r="BI68" s="17">
        <f t="shared" si="19"/>
        <v>0</v>
      </c>
      <c r="BJ68" s="21" t="str">
        <f t="shared" si="10"/>
        <v>nenhuma</v>
      </c>
      <c r="BK68" s="17">
        <f t="shared" si="20"/>
        <v>0</v>
      </c>
    </row>
    <row r="69" spans="1:63" x14ac:dyDescent="0.25">
      <c r="A69" s="8">
        <v>65</v>
      </c>
      <c r="B69" s="18"/>
      <c r="C69" s="10"/>
      <c r="D69" s="10"/>
      <c r="E69" s="10"/>
      <c r="F69" s="13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H69" s="14">
        <f t="shared" ref="AH69:AH132" si="21">IF(SUM(F69:AF69)&gt;0,ROUND(AVERAGE(F69:AF69),4),0)</f>
        <v>0</v>
      </c>
      <c r="AJ69" s="15">
        <v>0</v>
      </c>
      <c r="AK69" s="16"/>
      <c r="AL69" s="19"/>
      <c r="AM69" s="16"/>
      <c r="AN69" s="17">
        <f t="shared" ref="AN69:AN132" si="22">IF(AJ69&gt;0,AJ69,AH69)*AL69</f>
        <v>0</v>
      </c>
      <c r="AP69" s="18"/>
      <c r="AQ69" s="10"/>
      <c r="AR69" s="17">
        <f t="shared" ref="AR69:AR132" si="23">IF(AP69="",0,IF(AQ69="",SUMIF($B$5:$B$220,"="&amp;AP69,$AN$5:$AN$220),SUMIFS($AN$5:$AN$220, $B$5:$B$220, "="&amp;AP69, $C$5:$C$220,"="&amp;AQ69)))</f>
        <v>0</v>
      </c>
      <c r="AT69" s="19"/>
      <c r="AV69" s="10"/>
      <c r="AW69" s="17">
        <f t="shared" ref="AW69:AW132" si="24">IF(AV69="",0,SUMIF($AT$5:$AT$220,"="&amp;AV69,$AN$5:$AN$220))</f>
        <v>0</v>
      </c>
      <c r="AY69" s="13"/>
      <c r="AZ69" s="17">
        <f t="shared" ref="AZ69:AZ132" si="25">AY69*AL69</f>
        <v>0</v>
      </c>
      <c r="BA69" s="20">
        <f t="shared" ref="BA69:BA132" si="26">IF(AN69&gt;0,IF(AZ69&gt;=0,AZ69-AN69,0),0)</f>
        <v>0</v>
      </c>
      <c r="BC69" s="10">
        <f t="shared" si="16"/>
        <v>0</v>
      </c>
      <c r="BD69" s="17">
        <f t="shared" si="17"/>
        <v>0</v>
      </c>
      <c r="BE69" s="17">
        <f t="shared" si="18"/>
        <v>0</v>
      </c>
      <c r="BG69" s="18">
        <f t="shared" si="15"/>
        <v>0</v>
      </c>
      <c r="BH69" s="10">
        <f t="shared" ref="BH69:BH132" si="27">AQ69</f>
        <v>0</v>
      </c>
      <c r="BI69" s="17">
        <f t="shared" si="19"/>
        <v>0</v>
      </c>
      <c r="BJ69" s="21" t="str">
        <f t="shared" ref="BJ69:BJ132" si="28">IF(BK69&gt;0,"anular",IF(BK69&lt;0,"reforçar","nenhuma"))</f>
        <v>nenhuma</v>
      </c>
      <c r="BK69" s="17">
        <f t="shared" si="20"/>
        <v>0</v>
      </c>
    </row>
    <row r="70" spans="1:63" x14ac:dyDescent="0.25">
      <c r="A70" s="8">
        <v>66</v>
      </c>
      <c r="B70" s="18"/>
      <c r="C70" s="10"/>
      <c r="D70" s="10"/>
      <c r="E70" s="10"/>
      <c r="F70" s="13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H70" s="14">
        <f t="shared" si="21"/>
        <v>0</v>
      </c>
      <c r="AJ70" s="15">
        <v>0</v>
      </c>
      <c r="AK70" s="16"/>
      <c r="AL70" s="19"/>
      <c r="AM70" s="16"/>
      <c r="AN70" s="17">
        <f t="shared" si="22"/>
        <v>0</v>
      </c>
      <c r="AP70" s="18"/>
      <c r="AQ70" s="10"/>
      <c r="AR70" s="17">
        <f t="shared" si="23"/>
        <v>0</v>
      </c>
      <c r="AT70" s="19"/>
      <c r="AV70" s="10"/>
      <c r="AW70" s="17">
        <f t="shared" si="24"/>
        <v>0</v>
      </c>
      <c r="AY70" s="13"/>
      <c r="AZ70" s="17">
        <f t="shared" si="25"/>
        <v>0</v>
      </c>
      <c r="BA70" s="20">
        <f t="shared" si="26"/>
        <v>0</v>
      </c>
      <c r="BC70" s="10">
        <f t="shared" si="16"/>
        <v>0</v>
      </c>
      <c r="BD70" s="17">
        <f t="shared" si="17"/>
        <v>0</v>
      </c>
      <c r="BE70" s="17">
        <f t="shared" si="18"/>
        <v>0</v>
      </c>
      <c r="BG70" s="18">
        <f t="shared" si="15"/>
        <v>0</v>
      </c>
      <c r="BH70" s="10">
        <f t="shared" si="27"/>
        <v>0</v>
      </c>
      <c r="BI70" s="17">
        <f t="shared" si="19"/>
        <v>0</v>
      </c>
      <c r="BJ70" s="21" t="str">
        <f t="shared" si="28"/>
        <v>nenhuma</v>
      </c>
      <c r="BK70" s="17">
        <f t="shared" si="20"/>
        <v>0</v>
      </c>
    </row>
    <row r="71" spans="1:63" x14ac:dyDescent="0.25">
      <c r="A71" s="8">
        <v>67</v>
      </c>
      <c r="B71" s="18"/>
      <c r="C71" s="10"/>
      <c r="D71" s="10"/>
      <c r="E71" s="10"/>
      <c r="F71" s="13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H71" s="14">
        <f t="shared" si="21"/>
        <v>0</v>
      </c>
      <c r="AJ71" s="15">
        <v>0</v>
      </c>
      <c r="AK71" s="16"/>
      <c r="AL71" s="19"/>
      <c r="AM71" s="16"/>
      <c r="AN71" s="17">
        <f t="shared" si="22"/>
        <v>0</v>
      </c>
      <c r="AP71" s="18"/>
      <c r="AQ71" s="10"/>
      <c r="AR71" s="17">
        <f t="shared" si="23"/>
        <v>0</v>
      </c>
      <c r="AT71" s="19"/>
      <c r="AV71" s="10"/>
      <c r="AW71" s="17">
        <f t="shared" si="24"/>
        <v>0</v>
      </c>
      <c r="AY71" s="13"/>
      <c r="AZ71" s="17">
        <f t="shared" si="25"/>
        <v>0</v>
      </c>
      <c r="BA71" s="20">
        <f t="shared" si="26"/>
        <v>0</v>
      </c>
      <c r="BC71" s="10">
        <f t="shared" si="16"/>
        <v>0</v>
      </c>
      <c r="BD71" s="17">
        <f t="shared" si="17"/>
        <v>0</v>
      </c>
      <c r="BE71" s="17">
        <f t="shared" si="18"/>
        <v>0</v>
      </c>
      <c r="BG71" s="18">
        <f t="shared" ref="BG71:BG134" si="29">AP71</f>
        <v>0</v>
      </c>
      <c r="BH71" s="10">
        <f t="shared" si="27"/>
        <v>0</v>
      </c>
      <c r="BI71" s="17">
        <f t="shared" si="19"/>
        <v>0</v>
      </c>
      <c r="BJ71" s="21" t="str">
        <f t="shared" si="28"/>
        <v>nenhuma</v>
      </c>
      <c r="BK71" s="17">
        <f t="shared" si="20"/>
        <v>0</v>
      </c>
    </row>
    <row r="72" spans="1:63" x14ac:dyDescent="0.25">
      <c r="A72" s="8">
        <v>68</v>
      </c>
      <c r="B72" s="18"/>
      <c r="C72" s="10"/>
      <c r="D72" s="10"/>
      <c r="E72" s="10"/>
      <c r="F72" s="13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H72" s="14">
        <f t="shared" si="21"/>
        <v>0</v>
      </c>
      <c r="AJ72" s="15">
        <v>0</v>
      </c>
      <c r="AK72" s="16"/>
      <c r="AL72" s="19"/>
      <c r="AM72" s="16"/>
      <c r="AN72" s="17">
        <f t="shared" si="22"/>
        <v>0</v>
      </c>
      <c r="AP72" s="18"/>
      <c r="AQ72" s="10"/>
      <c r="AR72" s="17">
        <f t="shared" si="23"/>
        <v>0</v>
      </c>
      <c r="AT72" s="19"/>
      <c r="AV72" s="10"/>
      <c r="AW72" s="17">
        <f t="shared" si="24"/>
        <v>0</v>
      </c>
      <c r="AY72" s="13"/>
      <c r="AZ72" s="17">
        <f t="shared" si="25"/>
        <v>0</v>
      </c>
      <c r="BA72" s="20">
        <f t="shared" si="26"/>
        <v>0</v>
      </c>
      <c r="BC72" s="10">
        <f t="shared" si="16"/>
        <v>0</v>
      </c>
      <c r="BD72" s="17">
        <f t="shared" si="17"/>
        <v>0</v>
      </c>
      <c r="BE72" s="17">
        <f t="shared" si="18"/>
        <v>0</v>
      </c>
      <c r="BG72" s="18">
        <f t="shared" si="29"/>
        <v>0</v>
      </c>
      <c r="BH72" s="10">
        <f t="shared" si="27"/>
        <v>0</v>
      </c>
      <c r="BI72" s="17">
        <f t="shared" si="19"/>
        <v>0</v>
      </c>
      <c r="BJ72" s="21" t="str">
        <f t="shared" si="28"/>
        <v>nenhuma</v>
      </c>
      <c r="BK72" s="17">
        <f t="shared" si="20"/>
        <v>0</v>
      </c>
    </row>
    <row r="73" spans="1:63" x14ac:dyDescent="0.25">
      <c r="A73" s="8">
        <v>69</v>
      </c>
      <c r="B73" s="18"/>
      <c r="C73" s="10"/>
      <c r="D73" s="10"/>
      <c r="E73" s="10"/>
      <c r="F73" s="13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H73" s="14">
        <f t="shared" si="21"/>
        <v>0</v>
      </c>
      <c r="AJ73" s="15">
        <v>0</v>
      </c>
      <c r="AK73" s="16"/>
      <c r="AL73" s="19"/>
      <c r="AM73" s="16"/>
      <c r="AN73" s="17">
        <f t="shared" si="22"/>
        <v>0</v>
      </c>
      <c r="AP73" s="18"/>
      <c r="AQ73" s="10"/>
      <c r="AR73" s="17">
        <f t="shared" si="23"/>
        <v>0</v>
      </c>
      <c r="AT73" s="19"/>
      <c r="AV73" s="10"/>
      <c r="AW73" s="17">
        <f t="shared" si="24"/>
        <v>0</v>
      </c>
      <c r="AY73" s="13"/>
      <c r="AZ73" s="17">
        <f t="shared" si="25"/>
        <v>0</v>
      </c>
      <c r="BA73" s="20">
        <f t="shared" si="26"/>
        <v>0</v>
      </c>
      <c r="BC73" s="10">
        <f t="shared" si="16"/>
        <v>0</v>
      </c>
      <c r="BD73" s="17">
        <f t="shared" si="17"/>
        <v>0</v>
      </c>
      <c r="BE73" s="17">
        <f t="shared" si="18"/>
        <v>0</v>
      </c>
      <c r="BG73" s="18">
        <f t="shared" si="29"/>
        <v>0</v>
      </c>
      <c r="BH73" s="10">
        <f t="shared" si="27"/>
        <v>0</v>
      </c>
      <c r="BI73" s="17">
        <f t="shared" si="19"/>
        <v>0</v>
      </c>
      <c r="BJ73" s="21" t="str">
        <f t="shared" si="28"/>
        <v>nenhuma</v>
      </c>
      <c r="BK73" s="17">
        <f t="shared" si="20"/>
        <v>0</v>
      </c>
    </row>
    <row r="74" spans="1:63" x14ac:dyDescent="0.25">
      <c r="A74" s="8">
        <v>70</v>
      </c>
      <c r="B74" s="18"/>
      <c r="C74" s="10"/>
      <c r="D74" s="10"/>
      <c r="E74" s="10"/>
      <c r="F74" s="13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H74" s="14">
        <f t="shared" si="21"/>
        <v>0</v>
      </c>
      <c r="AJ74" s="15">
        <v>0</v>
      </c>
      <c r="AK74" s="16"/>
      <c r="AL74" s="19"/>
      <c r="AM74" s="16"/>
      <c r="AN74" s="17">
        <f t="shared" si="22"/>
        <v>0</v>
      </c>
      <c r="AP74" s="18"/>
      <c r="AQ74" s="10"/>
      <c r="AR74" s="17">
        <f t="shared" si="23"/>
        <v>0</v>
      </c>
      <c r="AT74" s="19"/>
      <c r="AV74" s="10"/>
      <c r="AW74" s="17">
        <f t="shared" si="24"/>
        <v>0</v>
      </c>
      <c r="AY74" s="13"/>
      <c r="AZ74" s="17">
        <f t="shared" si="25"/>
        <v>0</v>
      </c>
      <c r="BA74" s="20">
        <f t="shared" si="26"/>
        <v>0</v>
      </c>
      <c r="BC74" s="10">
        <f t="shared" si="16"/>
        <v>0</v>
      </c>
      <c r="BD74" s="17">
        <f t="shared" si="17"/>
        <v>0</v>
      </c>
      <c r="BE74" s="17">
        <f t="shared" si="18"/>
        <v>0</v>
      </c>
      <c r="BG74" s="18">
        <f t="shared" si="29"/>
        <v>0</v>
      </c>
      <c r="BH74" s="10">
        <f t="shared" si="27"/>
        <v>0</v>
      </c>
      <c r="BI74" s="17">
        <f t="shared" si="19"/>
        <v>0</v>
      </c>
      <c r="BJ74" s="21" t="str">
        <f t="shared" si="28"/>
        <v>nenhuma</v>
      </c>
      <c r="BK74" s="17">
        <f t="shared" si="20"/>
        <v>0</v>
      </c>
    </row>
    <row r="75" spans="1:63" x14ac:dyDescent="0.25">
      <c r="A75" s="8">
        <v>71</v>
      </c>
      <c r="B75" s="18"/>
      <c r="C75" s="10"/>
      <c r="D75" s="10"/>
      <c r="E75" s="10"/>
      <c r="F75" s="13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H75" s="14">
        <f t="shared" si="21"/>
        <v>0</v>
      </c>
      <c r="AJ75" s="15">
        <v>0</v>
      </c>
      <c r="AK75" s="16"/>
      <c r="AL75" s="19"/>
      <c r="AM75" s="16"/>
      <c r="AN75" s="17">
        <f t="shared" si="22"/>
        <v>0</v>
      </c>
      <c r="AP75" s="18"/>
      <c r="AQ75" s="10"/>
      <c r="AR75" s="17">
        <f t="shared" si="23"/>
        <v>0</v>
      </c>
      <c r="AT75" s="19"/>
      <c r="AV75" s="10"/>
      <c r="AW75" s="17">
        <f t="shared" si="24"/>
        <v>0</v>
      </c>
      <c r="AY75" s="13"/>
      <c r="AZ75" s="17">
        <f t="shared" si="25"/>
        <v>0</v>
      </c>
      <c r="BA75" s="20">
        <f t="shared" si="26"/>
        <v>0</v>
      </c>
      <c r="BC75" s="10">
        <f t="shared" si="16"/>
        <v>0</v>
      </c>
      <c r="BD75" s="17">
        <f t="shared" si="17"/>
        <v>0</v>
      </c>
      <c r="BE75" s="17">
        <f t="shared" si="18"/>
        <v>0</v>
      </c>
      <c r="BG75" s="18">
        <f t="shared" si="29"/>
        <v>0</v>
      </c>
      <c r="BH75" s="10">
        <f t="shared" si="27"/>
        <v>0</v>
      </c>
      <c r="BI75" s="17">
        <f t="shared" si="19"/>
        <v>0</v>
      </c>
      <c r="BJ75" s="21" t="str">
        <f t="shared" si="28"/>
        <v>nenhuma</v>
      </c>
      <c r="BK75" s="17">
        <f t="shared" si="20"/>
        <v>0</v>
      </c>
    </row>
    <row r="76" spans="1:63" x14ac:dyDescent="0.25">
      <c r="A76" s="8">
        <v>72</v>
      </c>
      <c r="B76" s="18"/>
      <c r="C76" s="10"/>
      <c r="D76" s="10"/>
      <c r="E76" s="10"/>
      <c r="F76" s="13"/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H76" s="14">
        <f t="shared" si="21"/>
        <v>0</v>
      </c>
      <c r="AJ76" s="15">
        <v>0</v>
      </c>
      <c r="AK76" s="16"/>
      <c r="AL76" s="19"/>
      <c r="AM76" s="16"/>
      <c r="AN76" s="17">
        <f t="shared" si="22"/>
        <v>0</v>
      </c>
      <c r="AP76" s="18"/>
      <c r="AQ76" s="10"/>
      <c r="AR76" s="17">
        <f t="shared" si="23"/>
        <v>0</v>
      </c>
      <c r="AT76" s="19"/>
      <c r="AV76" s="10"/>
      <c r="AW76" s="17">
        <f t="shared" si="24"/>
        <v>0</v>
      </c>
      <c r="AY76" s="13"/>
      <c r="AZ76" s="17">
        <f t="shared" si="25"/>
        <v>0</v>
      </c>
      <c r="BA76" s="20">
        <f t="shared" si="26"/>
        <v>0</v>
      </c>
      <c r="BC76" s="10">
        <f t="shared" si="16"/>
        <v>0</v>
      </c>
      <c r="BD76" s="17">
        <f t="shared" si="17"/>
        <v>0</v>
      </c>
      <c r="BE76" s="17">
        <f t="shared" si="18"/>
        <v>0</v>
      </c>
      <c r="BG76" s="18">
        <f t="shared" si="29"/>
        <v>0</v>
      </c>
      <c r="BH76" s="10">
        <f t="shared" si="27"/>
        <v>0</v>
      </c>
      <c r="BI76" s="17">
        <f t="shared" si="19"/>
        <v>0</v>
      </c>
      <c r="BJ76" s="21" t="str">
        <f t="shared" si="28"/>
        <v>nenhuma</v>
      </c>
      <c r="BK76" s="17">
        <f t="shared" si="20"/>
        <v>0</v>
      </c>
    </row>
    <row r="77" spans="1:63" x14ac:dyDescent="0.25">
      <c r="A77" s="8">
        <v>73</v>
      </c>
      <c r="B77" s="18"/>
      <c r="C77" s="10"/>
      <c r="D77" s="10"/>
      <c r="E77" s="10"/>
      <c r="F77" s="13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H77" s="14">
        <f t="shared" si="21"/>
        <v>0</v>
      </c>
      <c r="AJ77" s="15">
        <v>0</v>
      </c>
      <c r="AK77" s="16"/>
      <c r="AL77" s="19"/>
      <c r="AM77" s="16"/>
      <c r="AN77" s="17">
        <f t="shared" si="22"/>
        <v>0</v>
      </c>
      <c r="AP77" s="18"/>
      <c r="AQ77" s="10"/>
      <c r="AR77" s="17">
        <f t="shared" si="23"/>
        <v>0</v>
      </c>
      <c r="AT77" s="19"/>
      <c r="AV77" s="10"/>
      <c r="AW77" s="17">
        <f t="shared" si="24"/>
        <v>0</v>
      </c>
      <c r="AY77" s="13"/>
      <c r="AZ77" s="17">
        <f t="shared" si="25"/>
        <v>0</v>
      </c>
      <c r="BA77" s="20">
        <f t="shared" si="26"/>
        <v>0</v>
      </c>
      <c r="BC77" s="10">
        <f t="shared" si="16"/>
        <v>0</v>
      </c>
      <c r="BD77" s="17">
        <f t="shared" si="17"/>
        <v>0</v>
      </c>
      <c r="BE77" s="17">
        <f t="shared" si="18"/>
        <v>0</v>
      </c>
      <c r="BG77" s="18">
        <f t="shared" si="29"/>
        <v>0</v>
      </c>
      <c r="BH77" s="10">
        <f t="shared" si="27"/>
        <v>0</v>
      </c>
      <c r="BI77" s="17">
        <f t="shared" si="19"/>
        <v>0</v>
      </c>
      <c r="BJ77" s="21" t="str">
        <f t="shared" si="28"/>
        <v>nenhuma</v>
      </c>
      <c r="BK77" s="17">
        <f t="shared" si="20"/>
        <v>0</v>
      </c>
    </row>
    <row r="78" spans="1:63" x14ac:dyDescent="0.25">
      <c r="A78" s="8">
        <v>74</v>
      </c>
      <c r="B78" s="18"/>
      <c r="C78" s="10"/>
      <c r="D78" s="10"/>
      <c r="E78" s="10"/>
      <c r="F78" s="13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H78" s="14">
        <f t="shared" si="21"/>
        <v>0</v>
      </c>
      <c r="AJ78" s="15">
        <v>0</v>
      </c>
      <c r="AK78" s="16"/>
      <c r="AL78" s="19"/>
      <c r="AM78" s="16"/>
      <c r="AN78" s="17">
        <f t="shared" si="22"/>
        <v>0</v>
      </c>
      <c r="AP78" s="18"/>
      <c r="AQ78" s="10"/>
      <c r="AR78" s="17">
        <f t="shared" si="23"/>
        <v>0</v>
      </c>
      <c r="AT78" s="19"/>
      <c r="AV78" s="10"/>
      <c r="AW78" s="17">
        <f t="shared" si="24"/>
        <v>0</v>
      </c>
      <c r="AY78" s="13"/>
      <c r="AZ78" s="17">
        <f t="shared" si="25"/>
        <v>0</v>
      </c>
      <c r="BA78" s="20">
        <f t="shared" si="26"/>
        <v>0</v>
      </c>
      <c r="BC78" s="10">
        <f t="shared" si="16"/>
        <v>0</v>
      </c>
      <c r="BD78" s="17">
        <f t="shared" si="17"/>
        <v>0</v>
      </c>
      <c r="BE78" s="17">
        <f t="shared" si="18"/>
        <v>0</v>
      </c>
      <c r="BG78" s="18">
        <f t="shared" si="29"/>
        <v>0</v>
      </c>
      <c r="BH78" s="10">
        <f t="shared" si="27"/>
        <v>0</v>
      </c>
      <c r="BI78" s="17">
        <f t="shared" si="19"/>
        <v>0</v>
      </c>
      <c r="BJ78" s="21" t="str">
        <f t="shared" si="28"/>
        <v>nenhuma</v>
      </c>
      <c r="BK78" s="17">
        <f t="shared" si="20"/>
        <v>0</v>
      </c>
    </row>
    <row r="79" spans="1:63" x14ac:dyDescent="0.25">
      <c r="A79" s="8">
        <v>75</v>
      </c>
      <c r="B79" s="18"/>
      <c r="C79" s="10"/>
      <c r="D79" s="10"/>
      <c r="E79" s="10"/>
      <c r="F79" s="13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H79" s="14">
        <f t="shared" si="21"/>
        <v>0</v>
      </c>
      <c r="AJ79" s="15">
        <v>0</v>
      </c>
      <c r="AK79" s="16"/>
      <c r="AL79" s="19"/>
      <c r="AM79" s="16"/>
      <c r="AN79" s="17">
        <f t="shared" si="22"/>
        <v>0</v>
      </c>
      <c r="AP79" s="18"/>
      <c r="AQ79" s="10"/>
      <c r="AR79" s="17">
        <f t="shared" si="23"/>
        <v>0</v>
      </c>
      <c r="AT79" s="19"/>
      <c r="AV79" s="10"/>
      <c r="AW79" s="17">
        <f t="shared" si="24"/>
        <v>0</v>
      </c>
      <c r="AY79" s="13"/>
      <c r="AZ79" s="17">
        <f t="shared" si="25"/>
        <v>0</v>
      </c>
      <c r="BA79" s="20">
        <f t="shared" si="26"/>
        <v>0</v>
      </c>
      <c r="BC79" s="10">
        <f t="shared" si="16"/>
        <v>0</v>
      </c>
      <c r="BD79" s="17">
        <f t="shared" si="17"/>
        <v>0</v>
      </c>
      <c r="BE79" s="17">
        <f t="shared" si="18"/>
        <v>0</v>
      </c>
      <c r="BG79" s="18">
        <f t="shared" si="29"/>
        <v>0</v>
      </c>
      <c r="BH79" s="10">
        <f t="shared" si="27"/>
        <v>0</v>
      </c>
      <c r="BI79" s="17">
        <f t="shared" si="19"/>
        <v>0</v>
      </c>
      <c r="BJ79" s="21" t="str">
        <f t="shared" si="28"/>
        <v>nenhuma</v>
      </c>
      <c r="BK79" s="17">
        <f t="shared" si="20"/>
        <v>0</v>
      </c>
    </row>
    <row r="80" spans="1:63" x14ac:dyDescent="0.25">
      <c r="A80" s="8">
        <v>76</v>
      </c>
      <c r="B80" s="18"/>
      <c r="C80" s="10"/>
      <c r="D80" s="10"/>
      <c r="E80" s="10"/>
      <c r="F80" s="13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H80" s="14">
        <f t="shared" si="21"/>
        <v>0</v>
      </c>
      <c r="AJ80" s="15">
        <v>0</v>
      </c>
      <c r="AK80" s="16"/>
      <c r="AL80" s="19"/>
      <c r="AM80" s="16"/>
      <c r="AN80" s="17">
        <f t="shared" si="22"/>
        <v>0</v>
      </c>
      <c r="AP80" s="18"/>
      <c r="AQ80" s="10"/>
      <c r="AR80" s="17">
        <f t="shared" si="23"/>
        <v>0</v>
      </c>
      <c r="AT80" s="19"/>
      <c r="AV80" s="10"/>
      <c r="AW80" s="17">
        <f t="shared" si="24"/>
        <v>0</v>
      </c>
      <c r="AY80" s="13"/>
      <c r="AZ80" s="17">
        <f t="shared" si="25"/>
        <v>0</v>
      </c>
      <c r="BA80" s="20">
        <f t="shared" si="26"/>
        <v>0</v>
      </c>
      <c r="BC80" s="10">
        <f t="shared" si="16"/>
        <v>0</v>
      </c>
      <c r="BD80" s="17">
        <f t="shared" si="17"/>
        <v>0</v>
      </c>
      <c r="BE80" s="17">
        <f t="shared" si="18"/>
        <v>0</v>
      </c>
      <c r="BG80" s="18">
        <f t="shared" si="29"/>
        <v>0</v>
      </c>
      <c r="BH80" s="10">
        <f t="shared" si="27"/>
        <v>0</v>
      </c>
      <c r="BI80" s="17">
        <f t="shared" si="19"/>
        <v>0</v>
      </c>
      <c r="BJ80" s="21" t="str">
        <f t="shared" si="28"/>
        <v>nenhuma</v>
      </c>
      <c r="BK80" s="17">
        <f t="shared" si="20"/>
        <v>0</v>
      </c>
    </row>
    <row r="81" spans="1:63" x14ac:dyDescent="0.25">
      <c r="A81" s="8">
        <v>77</v>
      </c>
      <c r="B81" s="18"/>
      <c r="C81" s="10"/>
      <c r="D81" s="10"/>
      <c r="E81" s="10"/>
      <c r="F81" s="13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H81" s="14">
        <f t="shared" si="21"/>
        <v>0</v>
      </c>
      <c r="AJ81" s="15">
        <v>0</v>
      </c>
      <c r="AK81" s="16"/>
      <c r="AL81" s="19"/>
      <c r="AM81" s="16"/>
      <c r="AN81" s="17">
        <f t="shared" si="22"/>
        <v>0</v>
      </c>
      <c r="AP81" s="18"/>
      <c r="AQ81" s="10"/>
      <c r="AR81" s="17">
        <f t="shared" si="23"/>
        <v>0</v>
      </c>
      <c r="AT81" s="19"/>
      <c r="AV81" s="10"/>
      <c r="AW81" s="17">
        <f t="shared" si="24"/>
        <v>0</v>
      </c>
      <c r="AY81" s="13"/>
      <c r="AZ81" s="17">
        <f t="shared" si="25"/>
        <v>0</v>
      </c>
      <c r="BA81" s="20">
        <f t="shared" si="26"/>
        <v>0</v>
      </c>
      <c r="BC81" s="10">
        <f t="shared" si="16"/>
        <v>0</v>
      </c>
      <c r="BD81" s="17">
        <f t="shared" si="17"/>
        <v>0</v>
      </c>
      <c r="BE81" s="17">
        <f t="shared" si="18"/>
        <v>0</v>
      </c>
      <c r="BG81" s="18">
        <f t="shared" si="29"/>
        <v>0</v>
      </c>
      <c r="BH81" s="10">
        <f t="shared" si="27"/>
        <v>0</v>
      </c>
      <c r="BI81" s="17">
        <f t="shared" si="19"/>
        <v>0</v>
      </c>
      <c r="BJ81" s="21" t="str">
        <f t="shared" si="28"/>
        <v>nenhuma</v>
      </c>
      <c r="BK81" s="17">
        <f t="shared" si="20"/>
        <v>0</v>
      </c>
    </row>
    <row r="82" spans="1:63" x14ac:dyDescent="0.25">
      <c r="A82" s="8">
        <v>78</v>
      </c>
      <c r="B82" s="18"/>
      <c r="C82" s="10"/>
      <c r="D82" s="10"/>
      <c r="E82" s="10"/>
      <c r="F82" s="13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H82" s="14">
        <f t="shared" si="21"/>
        <v>0</v>
      </c>
      <c r="AJ82" s="15">
        <v>0</v>
      </c>
      <c r="AK82" s="16"/>
      <c r="AL82" s="19"/>
      <c r="AM82" s="16"/>
      <c r="AN82" s="17">
        <f t="shared" si="22"/>
        <v>0</v>
      </c>
      <c r="AP82" s="18"/>
      <c r="AQ82" s="10"/>
      <c r="AR82" s="17">
        <f t="shared" si="23"/>
        <v>0</v>
      </c>
      <c r="AT82" s="19"/>
      <c r="AV82" s="10"/>
      <c r="AW82" s="17">
        <f t="shared" si="24"/>
        <v>0</v>
      </c>
      <c r="AY82" s="13"/>
      <c r="AZ82" s="17">
        <f t="shared" si="25"/>
        <v>0</v>
      </c>
      <c r="BA82" s="20">
        <f t="shared" si="26"/>
        <v>0</v>
      </c>
      <c r="BC82" s="10">
        <f t="shared" si="16"/>
        <v>0</v>
      </c>
      <c r="BD82" s="17">
        <f t="shared" si="17"/>
        <v>0</v>
      </c>
      <c r="BE82" s="17">
        <f t="shared" si="18"/>
        <v>0</v>
      </c>
      <c r="BG82" s="18">
        <f t="shared" si="29"/>
        <v>0</v>
      </c>
      <c r="BH82" s="10">
        <f t="shared" si="27"/>
        <v>0</v>
      </c>
      <c r="BI82" s="17">
        <f t="shared" si="19"/>
        <v>0</v>
      </c>
      <c r="BJ82" s="21" t="str">
        <f t="shared" si="28"/>
        <v>nenhuma</v>
      </c>
      <c r="BK82" s="17">
        <f t="shared" si="20"/>
        <v>0</v>
      </c>
    </row>
    <row r="83" spans="1:63" x14ac:dyDescent="0.25">
      <c r="A83" s="8">
        <v>79</v>
      </c>
      <c r="B83" s="18"/>
      <c r="C83" s="10"/>
      <c r="D83" s="10"/>
      <c r="E83" s="10"/>
      <c r="F83" s="13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H83" s="14">
        <f t="shared" si="21"/>
        <v>0</v>
      </c>
      <c r="AJ83" s="15">
        <v>0</v>
      </c>
      <c r="AK83" s="16"/>
      <c r="AL83" s="19"/>
      <c r="AM83" s="16"/>
      <c r="AN83" s="17">
        <f t="shared" si="22"/>
        <v>0</v>
      </c>
      <c r="AP83" s="18"/>
      <c r="AQ83" s="10"/>
      <c r="AR83" s="17">
        <f t="shared" si="23"/>
        <v>0</v>
      </c>
      <c r="AT83" s="19"/>
      <c r="AV83" s="10"/>
      <c r="AW83" s="17">
        <f t="shared" si="24"/>
        <v>0</v>
      </c>
      <c r="AY83" s="13"/>
      <c r="AZ83" s="17">
        <f t="shared" si="25"/>
        <v>0</v>
      </c>
      <c r="BA83" s="20">
        <f t="shared" si="26"/>
        <v>0</v>
      </c>
      <c r="BC83" s="10">
        <f t="shared" si="16"/>
        <v>0</v>
      </c>
      <c r="BD83" s="17">
        <f t="shared" si="17"/>
        <v>0</v>
      </c>
      <c r="BE83" s="17">
        <f t="shared" si="18"/>
        <v>0</v>
      </c>
      <c r="BG83" s="18">
        <f t="shared" si="29"/>
        <v>0</v>
      </c>
      <c r="BH83" s="10">
        <f t="shared" si="27"/>
        <v>0</v>
      </c>
      <c r="BI83" s="17">
        <f t="shared" si="19"/>
        <v>0</v>
      </c>
      <c r="BJ83" s="21" t="str">
        <f t="shared" si="28"/>
        <v>nenhuma</v>
      </c>
      <c r="BK83" s="17">
        <f t="shared" si="20"/>
        <v>0</v>
      </c>
    </row>
    <row r="84" spans="1:63" x14ac:dyDescent="0.25">
      <c r="A84" s="8">
        <v>80</v>
      </c>
      <c r="B84" s="18"/>
      <c r="C84" s="10"/>
      <c r="D84" s="10"/>
      <c r="E84" s="10"/>
      <c r="F84" s="13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H84" s="14">
        <f t="shared" si="21"/>
        <v>0</v>
      </c>
      <c r="AJ84" s="15">
        <v>0</v>
      </c>
      <c r="AK84" s="16"/>
      <c r="AL84" s="19"/>
      <c r="AM84" s="16"/>
      <c r="AN84" s="17">
        <f t="shared" si="22"/>
        <v>0</v>
      </c>
      <c r="AP84" s="18"/>
      <c r="AQ84" s="10"/>
      <c r="AR84" s="17">
        <f t="shared" si="23"/>
        <v>0</v>
      </c>
      <c r="AT84" s="19"/>
      <c r="AV84" s="10"/>
      <c r="AW84" s="17">
        <f t="shared" si="24"/>
        <v>0</v>
      </c>
      <c r="AY84" s="13"/>
      <c r="AZ84" s="17">
        <f t="shared" si="25"/>
        <v>0</v>
      </c>
      <c r="BA84" s="20">
        <f t="shared" si="26"/>
        <v>0</v>
      </c>
      <c r="BC84" s="10">
        <f t="shared" si="16"/>
        <v>0</v>
      </c>
      <c r="BD84" s="17">
        <f t="shared" si="17"/>
        <v>0</v>
      </c>
      <c r="BE84" s="17">
        <f t="shared" si="18"/>
        <v>0</v>
      </c>
      <c r="BG84" s="18">
        <f t="shared" si="29"/>
        <v>0</v>
      </c>
      <c r="BH84" s="10">
        <f t="shared" si="27"/>
        <v>0</v>
      </c>
      <c r="BI84" s="17">
        <f t="shared" si="19"/>
        <v>0</v>
      </c>
      <c r="BJ84" s="21" t="str">
        <f t="shared" si="28"/>
        <v>nenhuma</v>
      </c>
      <c r="BK84" s="17">
        <f t="shared" si="20"/>
        <v>0</v>
      </c>
    </row>
    <row r="85" spans="1:63" x14ac:dyDescent="0.25">
      <c r="A85" s="8">
        <v>81</v>
      </c>
      <c r="B85" s="18"/>
      <c r="C85" s="10"/>
      <c r="D85" s="10"/>
      <c r="E85" s="10"/>
      <c r="F85" s="13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H85" s="14">
        <f t="shared" si="21"/>
        <v>0</v>
      </c>
      <c r="AJ85" s="15">
        <v>0</v>
      </c>
      <c r="AK85" s="16"/>
      <c r="AL85" s="19"/>
      <c r="AM85" s="16"/>
      <c r="AN85" s="17">
        <f t="shared" si="22"/>
        <v>0</v>
      </c>
      <c r="AP85" s="18"/>
      <c r="AQ85" s="10"/>
      <c r="AR85" s="17">
        <f t="shared" si="23"/>
        <v>0</v>
      </c>
      <c r="AT85" s="19"/>
      <c r="AV85" s="10"/>
      <c r="AW85" s="17">
        <f t="shared" si="24"/>
        <v>0</v>
      </c>
      <c r="AY85" s="13"/>
      <c r="AZ85" s="17">
        <f t="shared" si="25"/>
        <v>0</v>
      </c>
      <c r="BA85" s="20">
        <f t="shared" si="26"/>
        <v>0</v>
      </c>
      <c r="BC85" s="10">
        <f t="shared" si="16"/>
        <v>0</v>
      </c>
      <c r="BD85" s="17">
        <f t="shared" si="17"/>
        <v>0</v>
      </c>
      <c r="BE85" s="17">
        <f t="shared" si="18"/>
        <v>0</v>
      </c>
      <c r="BG85" s="18">
        <f t="shared" si="29"/>
        <v>0</v>
      </c>
      <c r="BH85" s="10">
        <f t="shared" si="27"/>
        <v>0</v>
      </c>
      <c r="BI85" s="17">
        <f t="shared" si="19"/>
        <v>0</v>
      </c>
      <c r="BJ85" s="21" t="str">
        <f t="shared" si="28"/>
        <v>nenhuma</v>
      </c>
      <c r="BK85" s="17">
        <f t="shared" si="20"/>
        <v>0</v>
      </c>
    </row>
    <row r="86" spans="1:63" x14ac:dyDescent="0.25">
      <c r="A86" s="8">
        <v>82</v>
      </c>
      <c r="B86" s="18"/>
      <c r="C86" s="10"/>
      <c r="D86" s="10"/>
      <c r="E86" s="10"/>
      <c r="F86" s="13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H86" s="14">
        <f t="shared" si="21"/>
        <v>0</v>
      </c>
      <c r="AJ86" s="15">
        <v>0</v>
      </c>
      <c r="AK86" s="16"/>
      <c r="AL86" s="19"/>
      <c r="AM86" s="16"/>
      <c r="AN86" s="17">
        <f t="shared" si="22"/>
        <v>0</v>
      </c>
      <c r="AP86" s="18"/>
      <c r="AQ86" s="10"/>
      <c r="AR86" s="17">
        <f t="shared" si="23"/>
        <v>0</v>
      </c>
      <c r="AT86" s="19"/>
      <c r="AV86" s="10"/>
      <c r="AW86" s="17">
        <f t="shared" si="24"/>
        <v>0</v>
      </c>
      <c r="AY86" s="13"/>
      <c r="AZ86" s="17">
        <f t="shared" si="25"/>
        <v>0</v>
      </c>
      <c r="BA86" s="20">
        <f t="shared" si="26"/>
        <v>0</v>
      </c>
      <c r="BC86" s="10">
        <f t="shared" si="16"/>
        <v>0</v>
      </c>
      <c r="BD86" s="17">
        <f t="shared" si="17"/>
        <v>0</v>
      </c>
      <c r="BE86" s="17">
        <f t="shared" si="18"/>
        <v>0</v>
      </c>
      <c r="BG86" s="18">
        <f t="shared" si="29"/>
        <v>0</v>
      </c>
      <c r="BH86" s="10">
        <f t="shared" si="27"/>
        <v>0</v>
      </c>
      <c r="BI86" s="17">
        <f t="shared" si="19"/>
        <v>0</v>
      </c>
      <c r="BJ86" s="21" t="str">
        <f t="shared" si="28"/>
        <v>nenhuma</v>
      </c>
      <c r="BK86" s="17">
        <f t="shared" si="20"/>
        <v>0</v>
      </c>
    </row>
    <row r="87" spans="1:63" x14ac:dyDescent="0.25">
      <c r="A87" s="8">
        <v>83</v>
      </c>
      <c r="B87" s="18"/>
      <c r="C87" s="10"/>
      <c r="D87" s="10"/>
      <c r="E87" s="10"/>
      <c r="F87" s="13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H87" s="14">
        <f t="shared" si="21"/>
        <v>0</v>
      </c>
      <c r="AJ87" s="15">
        <v>0</v>
      </c>
      <c r="AK87" s="16"/>
      <c r="AL87" s="19"/>
      <c r="AM87" s="16"/>
      <c r="AN87" s="17">
        <f t="shared" si="22"/>
        <v>0</v>
      </c>
      <c r="AP87" s="18"/>
      <c r="AQ87" s="10"/>
      <c r="AR87" s="17">
        <f t="shared" si="23"/>
        <v>0</v>
      </c>
      <c r="AT87" s="19"/>
      <c r="AV87" s="10"/>
      <c r="AW87" s="17">
        <f t="shared" si="24"/>
        <v>0</v>
      </c>
      <c r="AY87" s="13"/>
      <c r="AZ87" s="17">
        <f t="shared" si="25"/>
        <v>0</v>
      </c>
      <c r="BA87" s="20">
        <f t="shared" si="26"/>
        <v>0</v>
      </c>
      <c r="BC87" s="10">
        <f t="shared" si="16"/>
        <v>0</v>
      </c>
      <c r="BD87" s="17">
        <f t="shared" si="17"/>
        <v>0</v>
      </c>
      <c r="BE87" s="17">
        <f t="shared" si="18"/>
        <v>0</v>
      </c>
      <c r="BG87" s="18">
        <f t="shared" si="29"/>
        <v>0</v>
      </c>
      <c r="BH87" s="10">
        <f t="shared" si="27"/>
        <v>0</v>
      </c>
      <c r="BI87" s="17">
        <f t="shared" si="19"/>
        <v>0</v>
      </c>
      <c r="BJ87" s="21" t="str">
        <f t="shared" si="28"/>
        <v>nenhuma</v>
      </c>
      <c r="BK87" s="17">
        <f t="shared" si="20"/>
        <v>0</v>
      </c>
    </row>
    <row r="88" spans="1:63" x14ac:dyDescent="0.25">
      <c r="A88" s="8">
        <v>84</v>
      </c>
      <c r="B88" s="10"/>
      <c r="C88" s="10"/>
      <c r="D88" s="10"/>
      <c r="E88" s="10"/>
      <c r="F88" s="13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H88" s="14">
        <f t="shared" si="21"/>
        <v>0</v>
      </c>
      <c r="AJ88" s="15">
        <v>0</v>
      </c>
      <c r="AK88" s="16"/>
      <c r="AL88" s="19"/>
      <c r="AM88" s="16"/>
      <c r="AN88" s="17">
        <f t="shared" si="22"/>
        <v>0</v>
      </c>
      <c r="AP88" s="18"/>
      <c r="AQ88" s="10"/>
      <c r="AR88" s="17">
        <f t="shared" si="23"/>
        <v>0</v>
      </c>
      <c r="AT88" s="19"/>
      <c r="AV88" s="10"/>
      <c r="AW88" s="17">
        <f t="shared" si="24"/>
        <v>0</v>
      </c>
      <c r="AY88" s="13"/>
      <c r="AZ88" s="17">
        <f t="shared" si="25"/>
        <v>0</v>
      </c>
      <c r="BA88" s="20">
        <f t="shared" si="26"/>
        <v>0</v>
      </c>
      <c r="BC88" s="10">
        <f t="shared" si="16"/>
        <v>0</v>
      </c>
      <c r="BD88" s="17">
        <f t="shared" si="17"/>
        <v>0</v>
      </c>
      <c r="BE88" s="17">
        <f t="shared" si="18"/>
        <v>0</v>
      </c>
      <c r="BG88" s="18">
        <f t="shared" si="29"/>
        <v>0</v>
      </c>
      <c r="BH88" s="10">
        <f t="shared" si="27"/>
        <v>0</v>
      </c>
      <c r="BI88" s="17">
        <f t="shared" si="19"/>
        <v>0</v>
      </c>
      <c r="BJ88" s="21" t="str">
        <f t="shared" si="28"/>
        <v>nenhuma</v>
      </c>
      <c r="BK88" s="17">
        <f t="shared" si="20"/>
        <v>0</v>
      </c>
    </row>
    <row r="89" spans="1:63" x14ac:dyDescent="0.25">
      <c r="A89" s="8">
        <v>85</v>
      </c>
      <c r="B89" s="10"/>
      <c r="C89" s="10"/>
      <c r="D89" s="10"/>
      <c r="E89" s="10"/>
      <c r="F89" s="13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H89" s="14">
        <f t="shared" si="21"/>
        <v>0</v>
      </c>
      <c r="AJ89" s="15">
        <v>0</v>
      </c>
      <c r="AK89" s="16"/>
      <c r="AL89" s="19"/>
      <c r="AM89" s="16"/>
      <c r="AN89" s="17">
        <f t="shared" si="22"/>
        <v>0</v>
      </c>
      <c r="AP89" s="18"/>
      <c r="AQ89" s="10"/>
      <c r="AR89" s="17">
        <f t="shared" si="23"/>
        <v>0</v>
      </c>
      <c r="AT89" s="19"/>
      <c r="AV89" s="10"/>
      <c r="AW89" s="17">
        <f t="shared" si="24"/>
        <v>0</v>
      </c>
      <c r="AY89" s="13"/>
      <c r="AZ89" s="17">
        <f t="shared" si="25"/>
        <v>0</v>
      </c>
      <c r="BA89" s="20">
        <f t="shared" si="26"/>
        <v>0</v>
      </c>
      <c r="BC89" s="10">
        <f t="shared" si="16"/>
        <v>0</v>
      </c>
      <c r="BD89" s="17">
        <f t="shared" si="17"/>
        <v>0</v>
      </c>
      <c r="BE89" s="17">
        <f t="shared" si="18"/>
        <v>0</v>
      </c>
      <c r="BG89" s="18">
        <f t="shared" si="29"/>
        <v>0</v>
      </c>
      <c r="BH89" s="10">
        <f t="shared" si="27"/>
        <v>0</v>
      </c>
      <c r="BI89" s="17">
        <f t="shared" si="19"/>
        <v>0</v>
      </c>
      <c r="BJ89" s="21" t="str">
        <f t="shared" si="28"/>
        <v>nenhuma</v>
      </c>
      <c r="BK89" s="17">
        <f t="shared" si="20"/>
        <v>0</v>
      </c>
    </row>
    <row r="90" spans="1:63" x14ac:dyDescent="0.25">
      <c r="A90" s="8">
        <v>86</v>
      </c>
      <c r="B90" s="10"/>
      <c r="C90" s="10"/>
      <c r="D90" s="10"/>
      <c r="E90" s="10"/>
      <c r="F90" s="13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H90" s="14">
        <f t="shared" si="21"/>
        <v>0</v>
      </c>
      <c r="AJ90" s="15">
        <v>0</v>
      </c>
      <c r="AK90" s="16"/>
      <c r="AL90" s="19"/>
      <c r="AM90" s="16"/>
      <c r="AN90" s="17">
        <f t="shared" si="22"/>
        <v>0</v>
      </c>
      <c r="AP90" s="18"/>
      <c r="AQ90" s="10"/>
      <c r="AR90" s="17">
        <f t="shared" si="23"/>
        <v>0</v>
      </c>
      <c r="AT90" s="19"/>
      <c r="AV90" s="10"/>
      <c r="AW90" s="17">
        <f t="shared" si="24"/>
        <v>0</v>
      </c>
      <c r="AY90" s="13"/>
      <c r="AZ90" s="17">
        <f t="shared" si="25"/>
        <v>0</v>
      </c>
      <c r="BA90" s="20">
        <f t="shared" si="26"/>
        <v>0</v>
      </c>
      <c r="BC90" s="10">
        <f t="shared" si="16"/>
        <v>0</v>
      </c>
      <c r="BD90" s="17">
        <f t="shared" si="17"/>
        <v>0</v>
      </c>
      <c r="BE90" s="17">
        <f t="shared" si="18"/>
        <v>0</v>
      </c>
      <c r="BG90" s="18">
        <f t="shared" si="29"/>
        <v>0</v>
      </c>
      <c r="BH90" s="10">
        <f t="shared" si="27"/>
        <v>0</v>
      </c>
      <c r="BI90" s="17">
        <f t="shared" si="19"/>
        <v>0</v>
      </c>
      <c r="BJ90" s="21" t="str">
        <f t="shared" si="28"/>
        <v>nenhuma</v>
      </c>
      <c r="BK90" s="17">
        <f t="shared" si="20"/>
        <v>0</v>
      </c>
    </row>
    <row r="91" spans="1:63" x14ac:dyDescent="0.25">
      <c r="A91" s="8">
        <v>87</v>
      </c>
      <c r="B91" s="10"/>
      <c r="C91" s="10"/>
      <c r="D91" s="10"/>
      <c r="E91" s="10"/>
      <c r="F91" s="13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H91" s="14">
        <f t="shared" si="21"/>
        <v>0</v>
      </c>
      <c r="AJ91" s="15">
        <v>0</v>
      </c>
      <c r="AK91" s="16"/>
      <c r="AL91" s="19"/>
      <c r="AM91" s="16"/>
      <c r="AN91" s="17">
        <f t="shared" si="22"/>
        <v>0</v>
      </c>
      <c r="AP91" s="18"/>
      <c r="AQ91" s="10"/>
      <c r="AR91" s="17">
        <f t="shared" si="23"/>
        <v>0</v>
      </c>
      <c r="AT91" s="19"/>
      <c r="AV91" s="10"/>
      <c r="AW91" s="17">
        <f t="shared" si="24"/>
        <v>0</v>
      </c>
      <c r="AY91" s="13"/>
      <c r="AZ91" s="17">
        <f t="shared" si="25"/>
        <v>0</v>
      </c>
      <c r="BA91" s="20">
        <f t="shared" si="26"/>
        <v>0</v>
      </c>
      <c r="BC91" s="10">
        <f t="shared" ref="BC91:BC122" si="30">AV91</f>
        <v>0</v>
      </c>
      <c r="BD91" s="17">
        <f t="shared" ref="BD91:BD122" si="31">IF(BC91="","",SUMIF($AT$5:$AT$220,"="&amp;BC91,$AZ$5:$AZ$220))</f>
        <v>0</v>
      </c>
      <c r="BE91" s="17">
        <f t="shared" ref="BE91:BE122" si="32">IF(AW91&gt;=0,IF(BD91&gt;=0,AW91-BD91,0),0)</f>
        <v>0</v>
      </c>
      <c r="BG91" s="18">
        <f t="shared" si="29"/>
        <v>0</v>
      </c>
      <c r="BH91" s="10">
        <f t="shared" si="27"/>
        <v>0</v>
      </c>
      <c r="BI91" s="17">
        <f t="shared" ref="BI91:BI122" si="33">IF(BG91="","",IF(BH91="",SUMIF($B$5:$B$220,"="&amp;BG91,$AZ$5:$AZ$220),SUMIFS($AZ$5:$AZ$220, $B$5:$B$220, "="&amp;BG91, $C$5:$C$220,"="&amp;BH91)))</f>
        <v>0</v>
      </c>
      <c r="BJ91" s="21" t="str">
        <f t="shared" si="28"/>
        <v>nenhuma</v>
      </c>
      <c r="BK91" s="17">
        <f t="shared" ref="BK91:BK122" si="34">IF(AR91&gt;0,IF(BI91&gt;=0,AR91-BI91,0),0)</f>
        <v>0</v>
      </c>
    </row>
    <row r="92" spans="1:63" x14ac:dyDescent="0.25">
      <c r="A92" s="8">
        <v>88</v>
      </c>
      <c r="B92" s="10"/>
      <c r="C92" s="10"/>
      <c r="D92" s="10"/>
      <c r="E92" s="10"/>
      <c r="F92" s="13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H92" s="14">
        <f t="shared" si="21"/>
        <v>0</v>
      </c>
      <c r="AJ92" s="15">
        <v>0</v>
      </c>
      <c r="AK92" s="16"/>
      <c r="AL92" s="19"/>
      <c r="AM92" s="16"/>
      <c r="AN92" s="17">
        <f t="shared" si="22"/>
        <v>0</v>
      </c>
      <c r="AP92" s="18"/>
      <c r="AQ92" s="10"/>
      <c r="AR92" s="17">
        <f t="shared" si="23"/>
        <v>0</v>
      </c>
      <c r="AT92" s="19"/>
      <c r="AV92" s="10"/>
      <c r="AW92" s="17">
        <f t="shared" si="24"/>
        <v>0</v>
      </c>
      <c r="AY92" s="13"/>
      <c r="AZ92" s="17">
        <f t="shared" si="25"/>
        <v>0</v>
      </c>
      <c r="BA92" s="20">
        <f t="shared" si="26"/>
        <v>0</v>
      </c>
      <c r="BC92" s="10">
        <f t="shared" si="30"/>
        <v>0</v>
      </c>
      <c r="BD92" s="17">
        <f t="shared" si="31"/>
        <v>0</v>
      </c>
      <c r="BE92" s="17">
        <f t="shared" si="32"/>
        <v>0</v>
      </c>
      <c r="BG92" s="18">
        <f t="shared" si="29"/>
        <v>0</v>
      </c>
      <c r="BH92" s="10">
        <f t="shared" si="27"/>
        <v>0</v>
      </c>
      <c r="BI92" s="17">
        <f t="shared" si="33"/>
        <v>0</v>
      </c>
      <c r="BJ92" s="21" t="str">
        <f t="shared" si="28"/>
        <v>nenhuma</v>
      </c>
      <c r="BK92" s="17">
        <f t="shared" si="34"/>
        <v>0</v>
      </c>
    </row>
    <row r="93" spans="1:63" x14ac:dyDescent="0.25">
      <c r="A93" s="8">
        <v>89</v>
      </c>
      <c r="B93" s="10"/>
      <c r="C93" s="10"/>
      <c r="D93" s="10"/>
      <c r="E93" s="10"/>
      <c r="F93" s="13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H93" s="14">
        <f t="shared" si="21"/>
        <v>0</v>
      </c>
      <c r="AJ93" s="15">
        <v>0</v>
      </c>
      <c r="AK93" s="16"/>
      <c r="AL93" s="19"/>
      <c r="AM93" s="16"/>
      <c r="AN93" s="17">
        <f t="shared" si="22"/>
        <v>0</v>
      </c>
      <c r="AP93" s="18"/>
      <c r="AQ93" s="10"/>
      <c r="AR93" s="17">
        <f t="shared" si="23"/>
        <v>0</v>
      </c>
      <c r="AT93" s="19"/>
      <c r="AV93" s="10"/>
      <c r="AW93" s="17">
        <f t="shared" si="24"/>
        <v>0</v>
      </c>
      <c r="AY93" s="13"/>
      <c r="AZ93" s="17">
        <f t="shared" si="25"/>
        <v>0</v>
      </c>
      <c r="BA93" s="20">
        <f t="shared" si="26"/>
        <v>0</v>
      </c>
      <c r="BC93" s="10">
        <f t="shared" si="30"/>
        <v>0</v>
      </c>
      <c r="BD93" s="17">
        <f t="shared" si="31"/>
        <v>0</v>
      </c>
      <c r="BE93" s="17">
        <f t="shared" si="32"/>
        <v>0</v>
      </c>
      <c r="BG93" s="18">
        <f t="shared" si="29"/>
        <v>0</v>
      </c>
      <c r="BH93" s="10">
        <f t="shared" si="27"/>
        <v>0</v>
      </c>
      <c r="BI93" s="17">
        <f t="shared" si="33"/>
        <v>0</v>
      </c>
      <c r="BJ93" s="21" t="str">
        <f t="shared" si="28"/>
        <v>nenhuma</v>
      </c>
      <c r="BK93" s="17">
        <f t="shared" si="34"/>
        <v>0</v>
      </c>
    </row>
    <row r="94" spans="1:63" x14ac:dyDescent="0.25">
      <c r="A94" s="8">
        <v>90</v>
      </c>
      <c r="B94" s="10"/>
      <c r="C94" s="10"/>
      <c r="D94" s="10"/>
      <c r="E94" s="10"/>
      <c r="F94" s="13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H94" s="14">
        <f t="shared" si="21"/>
        <v>0</v>
      </c>
      <c r="AJ94" s="15">
        <v>0</v>
      </c>
      <c r="AK94" s="16"/>
      <c r="AL94" s="19"/>
      <c r="AM94" s="16"/>
      <c r="AN94" s="17">
        <f t="shared" si="22"/>
        <v>0</v>
      </c>
      <c r="AP94" s="18"/>
      <c r="AQ94" s="10"/>
      <c r="AR94" s="17">
        <f t="shared" si="23"/>
        <v>0</v>
      </c>
      <c r="AT94" s="19"/>
      <c r="AV94" s="10"/>
      <c r="AW94" s="17">
        <f t="shared" si="24"/>
        <v>0</v>
      </c>
      <c r="AY94" s="13"/>
      <c r="AZ94" s="17">
        <f t="shared" si="25"/>
        <v>0</v>
      </c>
      <c r="BA94" s="20">
        <f t="shared" si="26"/>
        <v>0</v>
      </c>
      <c r="BC94" s="10">
        <f t="shared" si="30"/>
        <v>0</v>
      </c>
      <c r="BD94" s="17">
        <f t="shared" si="31"/>
        <v>0</v>
      </c>
      <c r="BE94" s="17">
        <f t="shared" si="32"/>
        <v>0</v>
      </c>
      <c r="BG94" s="18">
        <f t="shared" si="29"/>
        <v>0</v>
      </c>
      <c r="BH94" s="10">
        <f t="shared" si="27"/>
        <v>0</v>
      </c>
      <c r="BI94" s="17">
        <f t="shared" si="33"/>
        <v>0</v>
      </c>
      <c r="BJ94" s="21" t="str">
        <f t="shared" si="28"/>
        <v>nenhuma</v>
      </c>
      <c r="BK94" s="17">
        <f t="shared" si="34"/>
        <v>0</v>
      </c>
    </row>
    <row r="95" spans="1:63" x14ac:dyDescent="0.25">
      <c r="A95" s="8">
        <v>91</v>
      </c>
      <c r="B95" s="10"/>
      <c r="C95" s="10"/>
      <c r="D95" s="10"/>
      <c r="E95" s="10"/>
      <c r="F95" s="13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H95" s="14">
        <f t="shared" si="21"/>
        <v>0</v>
      </c>
      <c r="AJ95" s="15">
        <v>0</v>
      </c>
      <c r="AK95" s="16"/>
      <c r="AL95" s="19"/>
      <c r="AM95" s="16"/>
      <c r="AN95" s="17">
        <f t="shared" si="22"/>
        <v>0</v>
      </c>
      <c r="AP95" s="18"/>
      <c r="AQ95" s="10"/>
      <c r="AR95" s="17">
        <f t="shared" si="23"/>
        <v>0</v>
      </c>
      <c r="AT95" s="19"/>
      <c r="AV95" s="10"/>
      <c r="AW95" s="17">
        <f t="shared" si="24"/>
        <v>0</v>
      </c>
      <c r="AY95" s="13"/>
      <c r="AZ95" s="17">
        <f t="shared" si="25"/>
        <v>0</v>
      </c>
      <c r="BA95" s="20">
        <f t="shared" si="26"/>
        <v>0</v>
      </c>
      <c r="BC95" s="10">
        <f t="shared" si="30"/>
        <v>0</v>
      </c>
      <c r="BD95" s="17">
        <f t="shared" si="31"/>
        <v>0</v>
      </c>
      <c r="BE95" s="17">
        <f t="shared" si="32"/>
        <v>0</v>
      </c>
      <c r="BG95" s="18">
        <f t="shared" si="29"/>
        <v>0</v>
      </c>
      <c r="BH95" s="10">
        <f t="shared" si="27"/>
        <v>0</v>
      </c>
      <c r="BI95" s="17">
        <f t="shared" si="33"/>
        <v>0</v>
      </c>
      <c r="BJ95" s="21" t="str">
        <f t="shared" si="28"/>
        <v>nenhuma</v>
      </c>
      <c r="BK95" s="17">
        <f t="shared" si="34"/>
        <v>0</v>
      </c>
    </row>
    <row r="96" spans="1:63" x14ac:dyDescent="0.25">
      <c r="A96" s="8">
        <v>92</v>
      </c>
      <c r="B96" s="10"/>
      <c r="C96" s="10"/>
      <c r="D96" s="10"/>
      <c r="E96" s="10"/>
      <c r="F96" s="13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H96" s="14">
        <f t="shared" si="21"/>
        <v>0</v>
      </c>
      <c r="AJ96" s="15">
        <v>0</v>
      </c>
      <c r="AK96" s="16"/>
      <c r="AL96" s="19"/>
      <c r="AM96" s="16"/>
      <c r="AN96" s="17">
        <f t="shared" si="22"/>
        <v>0</v>
      </c>
      <c r="AP96" s="18"/>
      <c r="AQ96" s="10"/>
      <c r="AR96" s="17">
        <f t="shared" si="23"/>
        <v>0</v>
      </c>
      <c r="AT96" s="19"/>
      <c r="AV96" s="10"/>
      <c r="AW96" s="17">
        <f t="shared" si="24"/>
        <v>0</v>
      </c>
      <c r="AY96" s="13"/>
      <c r="AZ96" s="17">
        <f t="shared" si="25"/>
        <v>0</v>
      </c>
      <c r="BA96" s="20">
        <f t="shared" si="26"/>
        <v>0</v>
      </c>
      <c r="BC96" s="10">
        <f t="shared" si="30"/>
        <v>0</v>
      </c>
      <c r="BD96" s="17">
        <f t="shared" si="31"/>
        <v>0</v>
      </c>
      <c r="BE96" s="17">
        <f t="shared" si="32"/>
        <v>0</v>
      </c>
      <c r="BG96" s="18">
        <f t="shared" si="29"/>
        <v>0</v>
      </c>
      <c r="BH96" s="10">
        <f t="shared" si="27"/>
        <v>0</v>
      </c>
      <c r="BI96" s="17">
        <f t="shared" si="33"/>
        <v>0</v>
      </c>
      <c r="BJ96" s="21" t="str">
        <f t="shared" si="28"/>
        <v>nenhuma</v>
      </c>
      <c r="BK96" s="17">
        <f t="shared" si="34"/>
        <v>0</v>
      </c>
    </row>
    <row r="97" spans="1:63" x14ac:dyDescent="0.25">
      <c r="A97" s="8">
        <v>93</v>
      </c>
      <c r="B97" s="10"/>
      <c r="C97" s="10"/>
      <c r="D97" s="10"/>
      <c r="E97" s="10"/>
      <c r="F97" s="13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H97" s="14">
        <f t="shared" si="21"/>
        <v>0</v>
      </c>
      <c r="AJ97" s="15">
        <v>0</v>
      </c>
      <c r="AK97" s="16"/>
      <c r="AL97" s="19"/>
      <c r="AM97" s="16"/>
      <c r="AN97" s="17">
        <f t="shared" si="22"/>
        <v>0</v>
      </c>
      <c r="AP97" s="18"/>
      <c r="AQ97" s="10"/>
      <c r="AR97" s="17">
        <f t="shared" si="23"/>
        <v>0</v>
      </c>
      <c r="AT97" s="19"/>
      <c r="AV97" s="10"/>
      <c r="AW97" s="17">
        <f t="shared" si="24"/>
        <v>0</v>
      </c>
      <c r="AY97" s="13"/>
      <c r="AZ97" s="17">
        <f t="shared" si="25"/>
        <v>0</v>
      </c>
      <c r="BA97" s="20">
        <f t="shared" si="26"/>
        <v>0</v>
      </c>
      <c r="BC97" s="10">
        <f t="shared" si="30"/>
        <v>0</v>
      </c>
      <c r="BD97" s="17">
        <f t="shared" si="31"/>
        <v>0</v>
      </c>
      <c r="BE97" s="17">
        <f t="shared" si="32"/>
        <v>0</v>
      </c>
      <c r="BG97" s="18">
        <f t="shared" si="29"/>
        <v>0</v>
      </c>
      <c r="BH97" s="10">
        <f t="shared" si="27"/>
        <v>0</v>
      </c>
      <c r="BI97" s="17">
        <f t="shared" si="33"/>
        <v>0</v>
      </c>
      <c r="BJ97" s="21" t="str">
        <f t="shared" si="28"/>
        <v>nenhuma</v>
      </c>
      <c r="BK97" s="17">
        <f t="shared" si="34"/>
        <v>0</v>
      </c>
    </row>
    <row r="98" spans="1:63" x14ac:dyDescent="0.25">
      <c r="A98" s="8">
        <v>94</v>
      </c>
      <c r="B98" s="10"/>
      <c r="C98" s="10"/>
      <c r="D98" s="10"/>
      <c r="E98" s="10"/>
      <c r="F98" s="13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H98" s="14">
        <f t="shared" si="21"/>
        <v>0</v>
      </c>
      <c r="AJ98" s="15">
        <v>0</v>
      </c>
      <c r="AK98" s="16"/>
      <c r="AL98" s="19"/>
      <c r="AM98" s="16"/>
      <c r="AN98" s="17">
        <f t="shared" si="22"/>
        <v>0</v>
      </c>
      <c r="AP98" s="18"/>
      <c r="AQ98" s="10"/>
      <c r="AR98" s="17">
        <f t="shared" si="23"/>
        <v>0</v>
      </c>
      <c r="AT98" s="19"/>
      <c r="AV98" s="10"/>
      <c r="AW98" s="17">
        <f t="shared" si="24"/>
        <v>0</v>
      </c>
      <c r="AY98" s="13"/>
      <c r="AZ98" s="17">
        <f t="shared" si="25"/>
        <v>0</v>
      </c>
      <c r="BA98" s="20">
        <f t="shared" si="26"/>
        <v>0</v>
      </c>
      <c r="BC98" s="10">
        <f t="shared" si="30"/>
        <v>0</v>
      </c>
      <c r="BD98" s="17">
        <f t="shared" si="31"/>
        <v>0</v>
      </c>
      <c r="BE98" s="17">
        <f t="shared" si="32"/>
        <v>0</v>
      </c>
      <c r="BG98" s="18">
        <f t="shared" si="29"/>
        <v>0</v>
      </c>
      <c r="BH98" s="10">
        <f t="shared" si="27"/>
        <v>0</v>
      </c>
      <c r="BI98" s="17">
        <f t="shared" si="33"/>
        <v>0</v>
      </c>
      <c r="BJ98" s="21" t="str">
        <f t="shared" si="28"/>
        <v>nenhuma</v>
      </c>
      <c r="BK98" s="17">
        <f t="shared" si="34"/>
        <v>0</v>
      </c>
    </row>
    <row r="99" spans="1:63" x14ac:dyDescent="0.25">
      <c r="A99" s="8">
        <v>95</v>
      </c>
      <c r="B99" s="10"/>
      <c r="C99" s="10"/>
      <c r="D99" s="10"/>
      <c r="E99" s="10"/>
      <c r="F99" s="13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H99" s="14">
        <f t="shared" si="21"/>
        <v>0</v>
      </c>
      <c r="AJ99" s="15">
        <v>0</v>
      </c>
      <c r="AK99" s="16"/>
      <c r="AL99" s="19"/>
      <c r="AM99" s="16"/>
      <c r="AN99" s="17">
        <f t="shared" si="22"/>
        <v>0</v>
      </c>
      <c r="AP99" s="18"/>
      <c r="AQ99" s="10"/>
      <c r="AR99" s="17">
        <f t="shared" si="23"/>
        <v>0</v>
      </c>
      <c r="AT99" s="19"/>
      <c r="AV99" s="10"/>
      <c r="AW99" s="17">
        <f t="shared" si="24"/>
        <v>0</v>
      </c>
      <c r="AY99" s="13"/>
      <c r="AZ99" s="17">
        <f t="shared" si="25"/>
        <v>0</v>
      </c>
      <c r="BA99" s="20">
        <f t="shared" si="26"/>
        <v>0</v>
      </c>
      <c r="BC99" s="10">
        <f t="shared" si="30"/>
        <v>0</v>
      </c>
      <c r="BD99" s="17">
        <f t="shared" si="31"/>
        <v>0</v>
      </c>
      <c r="BE99" s="17">
        <f t="shared" si="32"/>
        <v>0</v>
      </c>
      <c r="BG99" s="18">
        <f t="shared" si="29"/>
        <v>0</v>
      </c>
      <c r="BH99" s="10">
        <f t="shared" si="27"/>
        <v>0</v>
      </c>
      <c r="BI99" s="17">
        <f t="shared" si="33"/>
        <v>0</v>
      </c>
      <c r="BJ99" s="21" t="str">
        <f t="shared" si="28"/>
        <v>nenhuma</v>
      </c>
      <c r="BK99" s="17">
        <f t="shared" si="34"/>
        <v>0</v>
      </c>
    </row>
    <row r="100" spans="1:63" x14ac:dyDescent="0.25">
      <c r="A100" s="8">
        <v>96</v>
      </c>
      <c r="B100" s="10"/>
      <c r="C100" s="10"/>
      <c r="D100" s="10"/>
      <c r="E100" s="10"/>
      <c r="F100" s="13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H100" s="14">
        <f t="shared" si="21"/>
        <v>0</v>
      </c>
      <c r="AJ100" s="15">
        <v>0</v>
      </c>
      <c r="AK100" s="16"/>
      <c r="AL100" s="19"/>
      <c r="AM100" s="16"/>
      <c r="AN100" s="17">
        <f t="shared" si="22"/>
        <v>0</v>
      </c>
      <c r="AP100" s="18"/>
      <c r="AQ100" s="10"/>
      <c r="AR100" s="17">
        <f t="shared" si="23"/>
        <v>0</v>
      </c>
      <c r="AT100" s="19"/>
      <c r="AV100" s="10"/>
      <c r="AW100" s="17">
        <f t="shared" si="24"/>
        <v>0</v>
      </c>
      <c r="AY100" s="13"/>
      <c r="AZ100" s="17">
        <f t="shared" si="25"/>
        <v>0</v>
      </c>
      <c r="BA100" s="20">
        <f t="shared" si="26"/>
        <v>0</v>
      </c>
      <c r="BC100" s="10">
        <f t="shared" si="30"/>
        <v>0</v>
      </c>
      <c r="BD100" s="17">
        <f t="shared" si="31"/>
        <v>0</v>
      </c>
      <c r="BE100" s="17">
        <f t="shared" si="32"/>
        <v>0</v>
      </c>
      <c r="BG100" s="18">
        <f t="shared" si="29"/>
        <v>0</v>
      </c>
      <c r="BH100" s="10">
        <f t="shared" si="27"/>
        <v>0</v>
      </c>
      <c r="BI100" s="17">
        <f t="shared" si="33"/>
        <v>0</v>
      </c>
      <c r="BJ100" s="21" t="str">
        <f t="shared" si="28"/>
        <v>nenhuma</v>
      </c>
      <c r="BK100" s="17">
        <f t="shared" si="34"/>
        <v>0</v>
      </c>
    </row>
    <row r="101" spans="1:63" x14ac:dyDescent="0.25">
      <c r="A101" s="8">
        <v>97</v>
      </c>
      <c r="B101" s="10"/>
      <c r="C101" s="10"/>
      <c r="D101" s="10"/>
      <c r="E101" s="10"/>
      <c r="F101" s="13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H101" s="14">
        <f t="shared" si="21"/>
        <v>0</v>
      </c>
      <c r="AJ101" s="15">
        <v>0</v>
      </c>
      <c r="AK101" s="16"/>
      <c r="AL101" s="19"/>
      <c r="AM101" s="16"/>
      <c r="AN101" s="17">
        <f t="shared" si="22"/>
        <v>0</v>
      </c>
      <c r="AP101" s="18"/>
      <c r="AQ101" s="10"/>
      <c r="AR101" s="17">
        <f t="shared" si="23"/>
        <v>0</v>
      </c>
      <c r="AT101" s="19"/>
      <c r="AV101" s="10"/>
      <c r="AW101" s="17">
        <f t="shared" si="24"/>
        <v>0</v>
      </c>
      <c r="AY101" s="13"/>
      <c r="AZ101" s="17">
        <f t="shared" si="25"/>
        <v>0</v>
      </c>
      <c r="BA101" s="20">
        <f t="shared" si="26"/>
        <v>0</v>
      </c>
      <c r="BC101" s="10">
        <f t="shared" si="30"/>
        <v>0</v>
      </c>
      <c r="BD101" s="17">
        <f t="shared" si="31"/>
        <v>0</v>
      </c>
      <c r="BE101" s="17">
        <f t="shared" si="32"/>
        <v>0</v>
      </c>
      <c r="BG101" s="18">
        <f t="shared" si="29"/>
        <v>0</v>
      </c>
      <c r="BH101" s="10">
        <f t="shared" si="27"/>
        <v>0</v>
      </c>
      <c r="BI101" s="17">
        <f t="shared" si="33"/>
        <v>0</v>
      </c>
      <c r="BJ101" s="21" t="str">
        <f t="shared" si="28"/>
        <v>nenhuma</v>
      </c>
      <c r="BK101" s="17">
        <f t="shared" si="34"/>
        <v>0</v>
      </c>
    </row>
    <row r="102" spans="1:63" x14ac:dyDescent="0.25">
      <c r="A102" s="8">
        <v>98</v>
      </c>
      <c r="B102" s="10"/>
      <c r="C102" s="10"/>
      <c r="D102" s="10"/>
      <c r="E102" s="10"/>
      <c r="F102" s="13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H102" s="14">
        <f t="shared" si="21"/>
        <v>0</v>
      </c>
      <c r="AJ102" s="15">
        <v>0</v>
      </c>
      <c r="AK102" s="16"/>
      <c r="AL102" s="19"/>
      <c r="AM102" s="16"/>
      <c r="AN102" s="17">
        <f t="shared" si="22"/>
        <v>0</v>
      </c>
      <c r="AP102" s="18"/>
      <c r="AQ102" s="10"/>
      <c r="AR102" s="17">
        <f t="shared" si="23"/>
        <v>0</v>
      </c>
      <c r="AT102" s="19"/>
      <c r="AV102" s="10"/>
      <c r="AW102" s="17">
        <f t="shared" si="24"/>
        <v>0</v>
      </c>
      <c r="AY102" s="13"/>
      <c r="AZ102" s="17">
        <f t="shared" si="25"/>
        <v>0</v>
      </c>
      <c r="BA102" s="20">
        <f t="shared" si="26"/>
        <v>0</v>
      </c>
      <c r="BC102" s="10">
        <f t="shared" si="30"/>
        <v>0</v>
      </c>
      <c r="BD102" s="17">
        <f t="shared" si="31"/>
        <v>0</v>
      </c>
      <c r="BE102" s="17">
        <f t="shared" si="32"/>
        <v>0</v>
      </c>
      <c r="BG102" s="18">
        <f t="shared" si="29"/>
        <v>0</v>
      </c>
      <c r="BH102" s="10">
        <f t="shared" si="27"/>
        <v>0</v>
      </c>
      <c r="BI102" s="17">
        <f t="shared" si="33"/>
        <v>0</v>
      </c>
      <c r="BJ102" s="21" t="str">
        <f t="shared" si="28"/>
        <v>nenhuma</v>
      </c>
      <c r="BK102" s="17">
        <f t="shared" si="34"/>
        <v>0</v>
      </c>
    </row>
    <row r="103" spans="1:63" x14ac:dyDescent="0.25">
      <c r="A103" s="8">
        <v>99</v>
      </c>
      <c r="B103" s="10"/>
      <c r="C103" s="10"/>
      <c r="D103" s="10"/>
      <c r="E103" s="10"/>
      <c r="F103" s="13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H103" s="14">
        <f t="shared" si="21"/>
        <v>0</v>
      </c>
      <c r="AJ103" s="15">
        <v>0</v>
      </c>
      <c r="AK103" s="16"/>
      <c r="AL103" s="19"/>
      <c r="AM103" s="16"/>
      <c r="AN103" s="17">
        <f t="shared" si="22"/>
        <v>0</v>
      </c>
      <c r="AP103" s="18"/>
      <c r="AQ103" s="10"/>
      <c r="AR103" s="17">
        <f t="shared" si="23"/>
        <v>0</v>
      </c>
      <c r="AT103" s="19"/>
      <c r="AV103" s="10"/>
      <c r="AW103" s="17">
        <f t="shared" si="24"/>
        <v>0</v>
      </c>
      <c r="AY103" s="13"/>
      <c r="AZ103" s="17">
        <f t="shared" si="25"/>
        <v>0</v>
      </c>
      <c r="BA103" s="20">
        <f t="shared" si="26"/>
        <v>0</v>
      </c>
      <c r="BC103" s="10">
        <f t="shared" si="30"/>
        <v>0</v>
      </c>
      <c r="BD103" s="17">
        <f t="shared" si="31"/>
        <v>0</v>
      </c>
      <c r="BE103" s="17">
        <f t="shared" si="32"/>
        <v>0</v>
      </c>
      <c r="BG103" s="18">
        <f t="shared" si="29"/>
        <v>0</v>
      </c>
      <c r="BH103" s="10">
        <f t="shared" si="27"/>
        <v>0</v>
      </c>
      <c r="BI103" s="17">
        <f t="shared" si="33"/>
        <v>0</v>
      </c>
      <c r="BJ103" s="21" t="str">
        <f t="shared" si="28"/>
        <v>nenhuma</v>
      </c>
      <c r="BK103" s="17">
        <f t="shared" si="34"/>
        <v>0</v>
      </c>
    </row>
    <row r="104" spans="1:63" x14ac:dyDescent="0.25">
      <c r="A104" s="8">
        <v>100</v>
      </c>
      <c r="B104" s="10"/>
      <c r="C104" s="10"/>
      <c r="D104" s="10"/>
      <c r="E104" s="10"/>
      <c r="F104" s="13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H104" s="14">
        <f t="shared" si="21"/>
        <v>0</v>
      </c>
      <c r="AJ104" s="15">
        <v>0</v>
      </c>
      <c r="AK104" s="16"/>
      <c r="AL104" s="19"/>
      <c r="AM104" s="16"/>
      <c r="AN104" s="17">
        <f t="shared" si="22"/>
        <v>0</v>
      </c>
      <c r="AP104" s="18"/>
      <c r="AQ104" s="10"/>
      <c r="AR104" s="17">
        <f t="shared" si="23"/>
        <v>0</v>
      </c>
      <c r="AT104" s="19"/>
      <c r="AV104" s="10"/>
      <c r="AW104" s="17">
        <f t="shared" si="24"/>
        <v>0</v>
      </c>
      <c r="AY104" s="13"/>
      <c r="AZ104" s="17">
        <f t="shared" si="25"/>
        <v>0</v>
      </c>
      <c r="BA104" s="20">
        <f t="shared" si="26"/>
        <v>0</v>
      </c>
      <c r="BC104" s="10">
        <f t="shared" si="30"/>
        <v>0</v>
      </c>
      <c r="BD104" s="17">
        <f t="shared" si="31"/>
        <v>0</v>
      </c>
      <c r="BE104" s="17">
        <f t="shared" si="32"/>
        <v>0</v>
      </c>
      <c r="BG104" s="18">
        <f t="shared" si="29"/>
        <v>0</v>
      </c>
      <c r="BH104" s="10">
        <f t="shared" si="27"/>
        <v>0</v>
      </c>
      <c r="BI104" s="17">
        <f t="shared" si="33"/>
        <v>0</v>
      </c>
      <c r="BJ104" s="21" t="str">
        <f t="shared" si="28"/>
        <v>nenhuma</v>
      </c>
      <c r="BK104" s="17">
        <f t="shared" si="34"/>
        <v>0</v>
      </c>
    </row>
    <row r="105" spans="1:63" x14ac:dyDescent="0.25">
      <c r="A105" s="8">
        <v>101</v>
      </c>
      <c r="B105" s="10"/>
      <c r="C105" s="10"/>
      <c r="D105" s="10"/>
      <c r="E105" s="10"/>
      <c r="F105" s="13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H105" s="14">
        <f t="shared" si="21"/>
        <v>0</v>
      </c>
      <c r="AJ105" s="15">
        <v>0</v>
      </c>
      <c r="AK105" s="16"/>
      <c r="AL105" s="19"/>
      <c r="AM105" s="16"/>
      <c r="AN105" s="17">
        <f t="shared" si="22"/>
        <v>0</v>
      </c>
      <c r="AP105" s="18"/>
      <c r="AQ105" s="10"/>
      <c r="AR105" s="17">
        <f t="shared" si="23"/>
        <v>0</v>
      </c>
      <c r="AT105" s="19"/>
      <c r="AV105" s="10"/>
      <c r="AW105" s="17">
        <f t="shared" si="24"/>
        <v>0</v>
      </c>
      <c r="AY105" s="13"/>
      <c r="AZ105" s="17">
        <f t="shared" si="25"/>
        <v>0</v>
      </c>
      <c r="BA105" s="20">
        <f t="shared" si="26"/>
        <v>0</v>
      </c>
      <c r="BC105" s="10">
        <f t="shared" si="30"/>
        <v>0</v>
      </c>
      <c r="BD105" s="17">
        <f t="shared" si="31"/>
        <v>0</v>
      </c>
      <c r="BE105" s="17">
        <f t="shared" si="32"/>
        <v>0</v>
      </c>
      <c r="BG105" s="18">
        <f t="shared" si="29"/>
        <v>0</v>
      </c>
      <c r="BH105" s="10">
        <f t="shared" si="27"/>
        <v>0</v>
      </c>
      <c r="BI105" s="17">
        <f t="shared" si="33"/>
        <v>0</v>
      </c>
      <c r="BJ105" s="21" t="str">
        <f t="shared" si="28"/>
        <v>nenhuma</v>
      </c>
      <c r="BK105" s="17">
        <f t="shared" si="34"/>
        <v>0</v>
      </c>
    </row>
    <row r="106" spans="1:63" x14ac:dyDescent="0.25">
      <c r="A106" s="8">
        <v>102</v>
      </c>
      <c r="B106" s="10"/>
      <c r="C106" s="10"/>
      <c r="D106" s="10"/>
      <c r="E106" s="10"/>
      <c r="F106" s="13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H106" s="14">
        <f t="shared" si="21"/>
        <v>0</v>
      </c>
      <c r="AJ106" s="15">
        <v>0</v>
      </c>
      <c r="AK106" s="16"/>
      <c r="AL106" s="19"/>
      <c r="AM106" s="16"/>
      <c r="AN106" s="17">
        <f t="shared" si="22"/>
        <v>0</v>
      </c>
      <c r="AP106" s="18"/>
      <c r="AQ106" s="10"/>
      <c r="AR106" s="17">
        <f t="shared" si="23"/>
        <v>0</v>
      </c>
      <c r="AT106" s="19"/>
      <c r="AV106" s="10"/>
      <c r="AW106" s="17">
        <f t="shared" si="24"/>
        <v>0</v>
      </c>
      <c r="AY106" s="13"/>
      <c r="AZ106" s="17">
        <f t="shared" si="25"/>
        <v>0</v>
      </c>
      <c r="BA106" s="20">
        <f t="shared" si="26"/>
        <v>0</v>
      </c>
      <c r="BC106" s="10">
        <f t="shared" si="30"/>
        <v>0</v>
      </c>
      <c r="BD106" s="17">
        <f t="shared" si="31"/>
        <v>0</v>
      </c>
      <c r="BE106" s="17">
        <f t="shared" si="32"/>
        <v>0</v>
      </c>
      <c r="BG106" s="18">
        <f t="shared" si="29"/>
        <v>0</v>
      </c>
      <c r="BH106" s="10">
        <f t="shared" si="27"/>
        <v>0</v>
      </c>
      <c r="BI106" s="17">
        <f t="shared" si="33"/>
        <v>0</v>
      </c>
      <c r="BJ106" s="21" t="str">
        <f t="shared" si="28"/>
        <v>nenhuma</v>
      </c>
      <c r="BK106" s="17">
        <f t="shared" si="34"/>
        <v>0</v>
      </c>
    </row>
    <row r="107" spans="1:63" x14ac:dyDescent="0.25">
      <c r="A107" s="8">
        <v>103</v>
      </c>
      <c r="B107" s="10"/>
      <c r="C107" s="10"/>
      <c r="D107" s="10"/>
      <c r="E107" s="10"/>
      <c r="F107" s="13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H107" s="14">
        <f t="shared" si="21"/>
        <v>0</v>
      </c>
      <c r="AJ107" s="15">
        <v>0</v>
      </c>
      <c r="AK107" s="16"/>
      <c r="AL107" s="19"/>
      <c r="AM107" s="16"/>
      <c r="AN107" s="17">
        <f t="shared" si="22"/>
        <v>0</v>
      </c>
      <c r="AP107" s="18"/>
      <c r="AQ107" s="10"/>
      <c r="AR107" s="17">
        <f t="shared" si="23"/>
        <v>0</v>
      </c>
      <c r="AT107" s="19"/>
      <c r="AV107" s="10"/>
      <c r="AW107" s="17">
        <f t="shared" si="24"/>
        <v>0</v>
      </c>
      <c r="AY107" s="13"/>
      <c r="AZ107" s="17">
        <f t="shared" si="25"/>
        <v>0</v>
      </c>
      <c r="BA107" s="20">
        <f t="shared" si="26"/>
        <v>0</v>
      </c>
      <c r="BC107" s="10">
        <f t="shared" si="30"/>
        <v>0</v>
      </c>
      <c r="BD107" s="17">
        <f t="shared" si="31"/>
        <v>0</v>
      </c>
      <c r="BE107" s="17">
        <f t="shared" si="32"/>
        <v>0</v>
      </c>
      <c r="BG107" s="18">
        <f t="shared" si="29"/>
        <v>0</v>
      </c>
      <c r="BH107" s="10">
        <f t="shared" si="27"/>
        <v>0</v>
      </c>
      <c r="BI107" s="17">
        <f t="shared" si="33"/>
        <v>0</v>
      </c>
      <c r="BJ107" s="21" t="str">
        <f t="shared" si="28"/>
        <v>nenhuma</v>
      </c>
      <c r="BK107" s="17">
        <f t="shared" si="34"/>
        <v>0</v>
      </c>
    </row>
    <row r="108" spans="1:63" x14ac:dyDescent="0.25">
      <c r="A108" s="8">
        <v>104</v>
      </c>
      <c r="B108" s="10"/>
      <c r="C108" s="10"/>
      <c r="D108" s="10"/>
      <c r="E108" s="10"/>
      <c r="F108" s="13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H108" s="14">
        <f t="shared" si="21"/>
        <v>0</v>
      </c>
      <c r="AJ108" s="15">
        <v>0</v>
      </c>
      <c r="AK108" s="16"/>
      <c r="AL108" s="19"/>
      <c r="AM108" s="16"/>
      <c r="AN108" s="17">
        <f t="shared" si="22"/>
        <v>0</v>
      </c>
      <c r="AP108" s="18"/>
      <c r="AQ108" s="10"/>
      <c r="AR108" s="17">
        <f t="shared" si="23"/>
        <v>0</v>
      </c>
      <c r="AT108" s="19"/>
      <c r="AV108" s="10"/>
      <c r="AW108" s="17">
        <f t="shared" si="24"/>
        <v>0</v>
      </c>
      <c r="AY108" s="13"/>
      <c r="AZ108" s="17">
        <f t="shared" si="25"/>
        <v>0</v>
      </c>
      <c r="BA108" s="20">
        <f t="shared" si="26"/>
        <v>0</v>
      </c>
      <c r="BC108" s="10">
        <f t="shared" si="30"/>
        <v>0</v>
      </c>
      <c r="BD108" s="17">
        <f t="shared" si="31"/>
        <v>0</v>
      </c>
      <c r="BE108" s="17">
        <f t="shared" si="32"/>
        <v>0</v>
      </c>
      <c r="BG108" s="18">
        <f t="shared" si="29"/>
        <v>0</v>
      </c>
      <c r="BH108" s="10">
        <f t="shared" si="27"/>
        <v>0</v>
      </c>
      <c r="BI108" s="17">
        <f t="shared" si="33"/>
        <v>0</v>
      </c>
      <c r="BJ108" s="21" t="str">
        <f t="shared" si="28"/>
        <v>nenhuma</v>
      </c>
      <c r="BK108" s="17">
        <f t="shared" si="34"/>
        <v>0</v>
      </c>
    </row>
    <row r="109" spans="1:63" x14ac:dyDescent="0.25">
      <c r="A109" s="8">
        <v>105</v>
      </c>
      <c r="B109" s="10"/>
      <c r="C109" s="10"/>
      <c r="D109" s="10"/>
      <c r="E109" s="10"/>
      <c r="F109" s="13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H109" s="14">
        <f t="shared" si="21"/>
        <v>0</v>
      </c>
      <c r="AJ109" s="15">
        <v>0</v>
      </c>
      <c r="AK109" s="16"/>
      <c r="AL109" s="19"/>
      <c r="AM109" s="16"/>
      <c r="AN109" s="17">
        <f t="shared" si="22"/>
        <v>0</v>
      </c>
      <c r="AP109" s="18"/>
      <c r="AQ109" s="10"/>
      <c r="AR109" s="17">
        <f t="shared" si="23"/>
        <v>0</v>
      </c>
      <c r="AT109" s="19"/>
      <c r="AV109" s="10"/>
      <c r="AW109" s="17">
        <f t="shared" si="24"/>
        <v>0</v>
      </c>
      <c r="AY109" s="13"/>
      <c r="AZ109" s="17">
        <f t="shared" si="25"/>
        <v>0</v>
      </c>
      <c r="BA109" s="20">
        <f t="shared" si="26"/>
        <v>0</v>
      </c>
      <c r="BC109" s="10">
        <f t="shared" si="30"/>
        <v>0</v>
      </c>
      <c r="BD109" s="17">
        <f t="shared" si="31"/>
        <v>0</v>
      </c>
      <c r="BE109" s="17">
        <f t="shared" si="32"/>
        <v>0</v>
      </c>
      <c r="BG109" s="18">
        <f t="shared" si="29"/>
        <v>0</v>
      </c>
      <c r="BH109" s="10">
        <f t="shared" si="27"/>
        <v>0</v>
      </c>
      <c r="BI109" s="17">
        <f t="shared" si="33"/>
        <v>0</v>
      </c>
      <c r="BJ109" s="21" t="str">
        <f t="shared" si="28"/>
        <v>nenhuma</v>
      </c>
      <c r="BK109" s="17">
        <f t="shared" si="34"/>
        <v>0</v>
      </c>
    </row>
    <row r="110" spans="1:63" x14ac:dyDescent="0.25">
      <c r="A110" s="8">
        <v>106</v>
      </c>
      <c r="B110" s="10"/>
      <c r="C110" s="10"/>
      <c r="D110" s="10"/>
      <c r="E110" s="10"/>
      <c r="F110" s="13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H110" s="14">
        <f t="shared" si="21"/>
        <v>0</v>
      </c>
      <c r="AJ110" s="15">
        <v>0</v>
      </c>
      <c r="AK110" s="16"/>
      <c r="AL110" s="19"/>
      <c r="AM110" s="16"/>
      <c r="AN110" s="17">
        <f t="shared" si="22"/>
        <v>0</v>
      </c>
      <c r="AP110" s="18"/>
      <c r="AQ110" s="10"/>
      <c r="AR110" s="17">
        <f t="shared" si="23"/>
        <v>0</v>
      </c>
      <c r="AT110" s="19"/>
      <c r="AV110" s="10"/>
      <c r="AW110" s="17">
        <f t="shared" si="24"/>
        <v>0</v>
      </c>
      <c r="AY110" s="13"/>
      <c r="AZ110" s="17">
        <f t="shared" si="25"/>
        <v>0</v>
      </c>
      <c r="BA110" s="20">
        <f t="shared" si="26"/>
        <v>0</v>
      </c>
      <c r="BC110" s="10">
        <f t="shared" si="30"/>
        <v>0</v>
      </c>
      <c r="BD110" s="17">
        <f t="shared" si="31"/>
        <v>0</v>
      </c>
      <c r="BE110" s="17">
        <f t="shared" si="32"/>
        <v>0</v>
      </c>
      <c r="BG110" s="18">
        <f t="shared" si="29"/>
        <v>0</v>
      </c>
      <c r="BH110" s="10">
        <f t="shared" si="27"/>
        <v>0</v>
      </c>
      <c r="BI110" s="17">
        <f t="shared" si="33"/>
        <v>0</v>
      </c>
      <c r="BJ110" s="21" t="str">
        <f t="shared" si="28"/>
        <v>nenhuma</v>
      </c>
      <c r="BK110" s="17">
        <f t="shared" si="34"/>
        <v>0</v>
      </c>
    </row>
    <row r="111" spans="1:63" x14ac:dyDescent="0.25">
      <c r="A111" s="8">
        <v>107</v>
      </c>
      <c r="B111" s="10"/>
      <c r="C111" s="10"/>
      <c r="D111" s="10"/>
      <c r="E111" s="10"/>
      <c r="F111" s="13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H111" s="14">
        <f t="shared" si="21"/>
        <v>0</v>
      </c>
      <c r="AJ111" s="15">
        <v>0</v>
      </c>
      <c r="AK111" s="16"/>
      <c r="AL111" s="19"/>
      <c r="AM111" s="16"/>
      <c r="AN111" s="17">
        <f t="shared" si="22"/>
        <v>0</v>
      </c>
      <c r="AP111" s="18"/>
      <c r="AQ111" s="10"/>
      <c r="AR111" s="17">
        <f t="shared" si="23"/>
        <v>0</v>
      </c>
      <c r="AT111" s="19"/>
      <c r="AV111" s="10"/>
      <c r="AW111" s="17">
        <f t="shared" si="24"/>
        <v>0</v>
      </c>
      <c r="AY111" s="13"/>
      <c r="AZ111" s="17">
        <f t="shared" si="25"/>
        <v>0</v>
      </c>
      <c r="BA111" s="20">
        <f t="shared" si="26"/>
        <v>0</v>
      </c>
      <c r="BC111" s="10">
        <f t="shared" si="30"/>
        <v>0</v>
      </c>
      <c r="BD111" s="17">
        <f t="shared" si="31"/>
        <v>0</v>
      </c>
      <c r="BE111" s="17">
        <f t="shared" si="32"/>
        <v>0</v>
      </c>
      <c r="BG111" s="18">
        <f t="shared" si="29"/>
        <v>0</v>
      </c>
      <c r="BH111" s="10">
        <f t="shared" si="27"/>
        <v>0</v>
      </c>
      <c r="BI111" s="17">
        <f t="shared" si="33"/>
        <v>0</v>
      </c>
      <c r="BJ111" s="21" t="str">
        <f t="shared" si="28"/>
        <v>nenhuma</v>
      </c>
      <c r="BK111" s="17">
        <f t="shared" si="34"/>
        <v>0</v>
      </c>
    </row>
    <row r="112" spans="1:63" x14ac:dyDescent="0.25">
      <c r="A112" s="8">
        <v>108</v>
      </c>
      <c r="B112" s="10"/>
      <c r="C112" s="10"/>
      <c r="D112" s="10"/>
      <c r="E112" s="10"/>
      <c r="F112" s="13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H112" s="14">
        <f t="shared" si="21"/>
        <v>0</v>
      </c>
      <c r="AJ112" s="15">
        <v>0</v>
      </c>
      <c r="AK112" s="16"/>
      <c r="AL112" s="19"/>
      <c r="AM112" s="16"/>
      <c r="AN112" s="17">
        <f t="shared" si="22"/>
        <v>0</v>
      </c>
      <c r="AP112" s="18"/>
      <c r="AQ112" s="10"/>
      <c r="AR112" s="17">
        <f t="shared" si="23"/>
        <v>0</v>
      </c>
      <c r="AT112" s="19"/>
      <c r="AV112" s="10"/>
      <c r="AW112" s="17">
        <f t="shared" si="24"/>
        <v>0</v>
      </c>
      <c r="AY112" s="13"/>
      <c r="AZ112" s="17">
        <f t="shared" si="25"/>
        <v>0</v>
      </c>
      <c r="BA112" s="20">
        <f t="shared" si="26"/>
        <v>0</v>
      </c>
      <c r="BC112" s="10">
        <f t="shared" si="30"/>
        <v>0</v>
      </c>
      <c r="BD112" s="17">
        <f t="shared" si="31"/>
        <v>0</v>
      </c>
      <c r="BE112" s="17">
        <f t="shared" si="32"/>
        <v>0</v>
      </c>
      <c r="BG112" s="18">
        <f t="shared" si="29"/>
        <v>0</v>
      </c>
      <c r="BH112" s="10">
        <f t="shared" si="27"/>
        <v>0</v>
      </c>
      <c r="BI112" s="17">
        <f t="shared" si="33"/>
        <v>0</v>
      </c>
      <c r="BJ112" s="21" t="str">
        <f t="shared" si="28"/>
        <v>nenhuma</v>
      </c>
      <c r="BK112" s="17">
        <f t="shared" si="34"/>
        <v>0</v>
      </c>
    </row>
    <row r="113" spans="1:63" x14ac:dyDescent="0.25">
      <c r="A113" s="8">
        <v>109</v>
      </c>
      <c r="B113" s="10"/>
      <c r="C113" s="10"/>
      <c r="D113" s="10"/>
      <c r="E113" s="10"/>
      <c r="F113" s="13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H113" s="14">
        <f t="shared" si="21"/>
        <v>0</v>
      </c>
      <c r="AJ113" s="15">
        <v>0</v>
      </c>
      <c r="AK113" s="16"/>
      <c r="AL113" s="19"/>
      <c r="AM113" s="16"/>
      <c r="AN113" s="17">
        <f t="shared" si="22"/>
        <v>0</v>
      </c>
      <c r="AP113" s="18"/>
      <c r="AQ113" s="10"/>
      <c r="AR113" s="17">
        <f t="shared" si="23"/>
        <v>0</v>
      </c>
      <c r="AT113" s="19"/>
      <c r="AV113" s="10"/>
      <c r="AW113" s="17">
        <f t="shared" si="24"/>
        <v>0</v>
      </c>
      <c r="AY113" s="13"/>
      <c r="AZ113" s="17">
        <f t="shared" si="25"/>
        <v>0</v>
      </c>
      <c r="BA113" s="20">
        <f t="shared" si="26"/>
        <v>0</v>
      </c>
      <c r="BC113" s="10">
        <f t="shared" si="30"/>
        <v>0</v>
      </c>
      <c r="BD113" s="17">
        <f t="shared" si="31"/>
        <v>0</v>
      </c>
      <c r="BE113" s="17">
        <f t="shared" si="32"/>
        <v>0</v>
      </c>
      <c r="BG113" s="18">
        <f t="shared" si="29"/>
        <v>0</v>
      </c>
      <c r="BH113" s="10">
        <f t="shared" si="27"/>
        <v>0</v>
      </c>
      <c r="BI113" s="17">
        <f t="shared" si="33"/>
        <v>0</v>
      </c>
      <c r="BJ113" s="21" t="str">
        <f t="shared" si="28"/>
        <v>nenhuma</v>
      </c>
      <c r="BK113" s="17">
        <f t="shared" si="34"/>
        <v>0</v>
      </c>
    </row>
    <row r="114" spans="1:63" x14ac:dyDescent="0.25">
      <c r="A114" s="8">
        <v>110</v>
      </c>
      <c r="B114" s="10"/>
      <c r="C114" s="10"/>
      <c r="D114" s="10"/>
      <c r="E114" s="10"/>
      <c r="F114" s="13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H114" s="14">
        <f t="shared" si="21"/>
        <v>0</v>
      </c>
      <c r="AJ114" s="15">
        <v>0</v>
      </c>
      <c r="AK114" s="16"/>
      <c r="AL114" s="19"/>
      <c r="AM114" s="16"/>
      <c r="AN114" s="17">
        <f t="shared" si="22"/>
        <v>0</v>
      </c>
      <c r="AP114" s="18"/>
      <c r="AQ114" s="10"/>
      <c r="AR114" s="17">
        <f t="shared" si="23"/>
        <v>0</v>
      </c>
      <c r="AT114" s="19"/>
      <c r="AV114" s="10"/>
      <c r="AW114" s="17">
        <f t="shared" si="24"/>
        <v>0</v>
      </c>
      <c r="AY114" s="13"/>
      <c r="AZ114" s="17">
        <f t="shared" si="25"/>
        <v>0</v>
      </c>
      <c r="BA114" s="20">
        <f t="shared" si="26"/>
        <v>0</v>
      </c>
      <c r="BC114" s="10">
        <f t="shared" si="30"/>
        <v>0</v>
      </c>
      <c r="BD114" s="17">
        <f t="shared" si="31"/>
        <v>0</v>
      </c>
      <c r="BE114" s="17">
        <f t="shared" si="32"/>
        <v>0</v>
      </c>
      <c r="BG114" s="18">
        <f t="shared" si="29"/>
        <v>0</v>
      </c>
      <c r="BH114" s="10">
        <f t="shared" si="27"/>
        <v>0</v>
      </c>
      <c r="BI114" s="17">
        <f t="shared" si="33"/>
        <v>0</v>
      </c>
      <c r="BJ114" s="21" t="str">
        <f t="shared" si="28"/>
        <v>nenhuma</v>
      </c>
      <c r="BK114" s="17">
        <f t="shared" si="34"/>
        <v>0</v>
      </c>
    </row>
    <row r="115" spans="1:63" x14ac:dyDescent="0.25">
      <c r="A115" s="8">
        <v>111</v>
      </c>
      <c r="B115" s="10"/>
      <c r="C115" s="10"/>
      <c r="D115" s="10"/>
      <c r="E115" s="10"/>
      <c r="F115" s="13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H115" s="14">
        <f t="shared" si="21"/>
        <v>0</v>
      </c>
      <c r="AJ115" s="15">
        <v>0</v>
      </c>
      <c r="AK115" s="16"/>
      <c r="AL115" s="19"/>
      <c r="AM115" s="16"/>
      <c r="AN115" s="17">
        <f t="shared" si="22"/>
        <v>0</v>
      </c>
      <c r="AP115" s="18"/>
      <c r="AQ115" s="10"/>
      <c r="AR115" s="17">
        <f t="shared" si="23"/>
        <v>0</v>
      </c>
      <c r="AT115" s="19"/>
      <c r="AV115" s="10"/>
      <c r="AW115" s="17">
        <f t="shared" si="24"/>
        <v>0</v>
      </c>
      <c r="AY115" s="13"/>
      <c r="AZ115" s="17">
        <f t="shared" si="25"/>
        <v>0</v>
      </c>
      <c r="BA115" s="20">
        <f t="shared" si="26"/>
        <v>0</v>
      </c>
      <c r="BC115" s="10">
        <f t="shared" si="30"/>
        <v>0</v>
      </c>
      <c r="BD115" s="17">
        <f t="shared" si="31"/>
        <v>0</v>
      </c>
      <c r="BE115" s="17">
        <f t="shared" si="32"/>
        <v>0</v>
      </c>
      <c r="BG115" s="18">
        <f t="shared" si="29"/>
        <v>0</v>
      </c>
      <c r="BH115" s="10">
        <f t="shared" si="27"/>
        <v>0</v>
      </c>
      <c r="BI115" s="17">
        <f t="shared" si="33"/>
        <v>0</v>
      </c>
      <c r="BJ115" s="21" t="str">
        <f t="shared" si="28"/>
        <v>nenhuma</v>
      </c>
      <c r="BK115" s="17">
        <f t="shared" si="34"/>
        <v>0</v>
      </c>
    </row>
    <row r="116" spans="1:63" x14ac:dyDescent="0.25">
      <c r="A116" s="8">
        <v>112</v>
      </c>
      <c r="B116" s="10"/>
      <c r="C116" s="10"/>
      <c r="D116" s="10"/>
      <c r="E116" s="10"/>
      <c r="F116" s="13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H116" s="14">
        <f t="shared" si="21"/>
        <v>0</v>
      </c>
      <c r="AJ116" s="15">
        <v>0</v>
      </c>
      <c r="AK116" s="16"/>
      <c r="AL116" s="19"/>
      <c r="AM116" s="16"/>
      <c r="AN116" s="17">
        <f t="shared" si="22"/>
        <v>0</v>
      </c>
      <c r="AP116" s="18"/>
      <c r="AQ116" s="10"/>
      <c r="AR116" s="17">
        <f t="shared" si="23"/>
        <v>0</v>
      </c>
      <c r="AT116" s="19"/>
      <c r="AV116" s="10"/>
      <c r="AW116" s="17">
        <f t="shared" si="24"/>
        <v>0</v>
      </c>
      <c r="AY116" s="13"/>
      <c r="AZ116" s="17">
        <f t="shared" si="25"/>
        <v>0</v>
      </c>
      <c r="BA116" s="20">
        <f t="shared" si="26"/>
        <v>0</v>
      </c>
      <c r="BC116" s="10">
        <f t="shared" si="30"/>
        <v>0</v>
      </c>
      <c r="BD116" s="17">
        <f t="shared" si="31"/>
        <v>0</v>
      </c>
      <c r="BE116" s="17">
        <f t="shared" si="32"/>
        <v>0</v>
      </c>
      <c r="BG116" s="18">
        <f t="shared" si="29"/>
        <v>0</v>
      </c>
      <c r="BH116" s="10">
        <f t="shared" si="27"/>
        <v>0</v>
      </c>
      <c r="BI116" s="17">
        <f t="shared" si="33"/>
        <v>0</v>
      </c>
      <c r="BJ116" s="21" t="str">
        <f t="shared" si="28"/>
        <v>nenhuma</v>
      </c>
      <c r="BK116" s="17">
        <f t="shared" si="34"/>
        <v>0</v>
      </c>
    </row>
    <row r="117" spans="1:63" x14ac:dyDescent="0.25">
      <c r="A117" s="8">
        <v>113</v>
      </c>
      <c r="B117" s="10"/>
      <c r="C117" s="10"/>
      <c r="D117" s="10"/>
      <c r="E117" s="10"/>
      <c r="F117" s="13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H117" s="14">
        <f t="shared" si="21"/>
        <v>0</v>
      </c>
      <c r="AJ117" s="15">
        <v>0</v>
      </c>
      <c r="AK117" s="16"/>
      <c r="AL117" s="19"/>
      <c r="AM117" s="16"/>
      <c r="AN117" s="17">
        <f t="shared" si="22"/>
        <v>0</v>
      </c>
      <c r="AP117" s="18"/>
      <c r="AQ117" s="10"/>
      <c r="AR117" s="17">
        <f t="shared" si="23"/>
        <v>0</v>
      </c>
      <c r="AT117" s="19"/>
      <c r="AV117" s="10"/>
      <c r="AW117" s="17">
        <f t="shared" si="24"/>
        <v>0</v>
      </c>
      <c r="AY117" s="13"/>
      <c r="AZ117" s="17">
        <f t="shared" si="25"/>
        <v>0</v>
      </c>
      <c r="BA117" s="20">
        <f t="shared" si="26"/>
        <v>0</v>
      </c>
      <c r="BC117" s="10">
        <f t="shared" si="30"/>
        <v>0</v>
      </c>
      <c r="BD117" s="17">
        <f t="shared" si="31"/>
        <v>0</v>
      </c>
      <c r="BE117" s="17">
        <f t="shared" si="32"/>
        <v>0</v>
      </c>
      <c r="BG117" s="18">
        <f t="shared" si="29"/>
        <v>0</v>
      </c>
      <c r="BH117" s="10">
        <f t="shared" si="27"/>
        <v>0</v>
      </c>
      <c r="BI117" s="17">
        <f t="shared" si="33"/>
        <v>0</v>
      </c>
      <c r="BJ117" s="21" t="str">
        <f t="shared" si="28"/>
        <v>nenhuma</v>
      </c>
      <c r="BK117" s="17">
        <f t="shared" si="34"/>
        <v>0</v>
      </c>
    </row>
    <row r="118" spans="1:63" x14ac:dyDescent="0.25">
      <c r="A118" s="8">
        <v>114</v>
      </c>
      <c r="B118" s="10"/>
      <c r="C118" s="10"/>
      <c r="D118" s="10"/>
      <c r="E118" s="10"/>
      <c r="F118" s="13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H118" s="14">
        <f t="shared" si="21"/>
        <v>0</v>
      </c>
      <c r="AJ118" s="15">
        <v>0</v>
      </c>
      <c r="AL118" s="19"/>
      <c r="AN118" s="17">
        <f t="shared" si="22"/>
        <v>0</v>
      </c>
      <c r="AP118" s="18"/>
      <c r="AQ118" s="10"/>
      <c r="AR118" s="17">
        <f t="shared" si="23"/>
        <v>0</v>
      </c>
      <c r="AT118" s="19"/>
      <c r="AV118" s="10"/>
      <c r="AW118" s="17">
        <f t="shared" si="24"/>
        <v>0</v>
      </c>
      <c r="AY118" s="13"/>
      <c r="AZ118" s="17">
        <f t="shared" si="25"/>
        <v>0</v>
      </c>
      <c r="BA118" s="20">
        <f t="shared" si="26"/>
        <v>0</v>
      </c>
      <c r="BC118" s="10">
        <f t="shared" si="30"/>
        <v>0</v>
      </c>
      <c r="BD118" s="17">
        <f t="shared" si="31"/>
        <v>0</v>
      </c>
      <c r="BE118" s="17">
        <f t="shared" si="32"/>
        <v>0</v>
      </c>
      <c r="BG118" s="18">
        <f t="shared" si="29"/>
        <v>0</v>
      </c>
      <c r="BH118" s="10">
        <f t="shared" si="27"/>
        <v>0</v>
      </c>
      <c r="BI118" s="17">
        <f t="shared" si="33"/>
        <v>0</v>
      </c>
      <c r="BJ118" s="21" t="str">
        <f t="shared" si="28"/>
        <v>nenhuma</v>
      </c>
      <c r="BK118" s="17">
        <f t="shared" si="34"/>
        <v>0</v>
      </c>
    </row>
    <row r="119" spans="1:63" x14ac:dyDescent="0.25">
      <c r="A119" s="8">
        <v>115</v>
      </c>
      <c r="B119" s="10"/>
      <c r="C119" s="10"/>
      <c r="D119" s="10"/>
      <c r="E119" s="10"/>
      <c r="F119" s="13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H119" s="14">
        <f t="shared" si="21"/>
        <v>0</v>
      </c>
      <c r="AJ119" s="15">
        <v>0</v>
      </c>
      <c r="AL119" s="19"/>
      <c r="AN119" s="17">
        <f t="shared" si="22"/>
        <v>0</v>
      </c>
      <c r="AP119" s="18"/>
      <c r="AQ119" s="10"/>
      <c r="AR119" s="17">
        <f t="shared" si="23"/>
        <v>0</v>
      </c>
      <c r="AT119" s="19"/>
      <c r="AV119" s="10"/>
      <c r="AW119" s="17">
        <f t="shared" si="24"/>
        <v>0</v>
      </c>
      <c r="AY119" s="13"/>
      <c r="AZ119" s="17">
        <f t="shared" si="25"/>
        <v>0</v>
      </c>
      <c r="BA119" s="20">
        <f t="shared" si="26"/>
        <v>0</v>
      </c>
      <c r="BC119" s="10">
        <f t="shared" si="30"/>
        <v>0</v>
      </c>
      <c r="BD119" s="17">
        <f t="shared" si="31"/>
        <v>0</v>
      </c>
      <c r="BE119" s="17">
        <f t="shared" si="32"/>
        <v>0</v>
      </c>
      <c r="BG119" s="18">
        <f t="shared" si="29"/>
        <v>0</v>
      </c>
      <c r="BH119" s="10">
        <f t="shared" si="27"/>
        <v>0</v>
      </c>
      <c r="BI119" s="17">
        <f t="shared" si="33"/>
        <v>0</v>
      </c>
      <c r="BJ119" s="21" t="str">
        <f t="shared" si="28"/>
        <v>nenhuma</v>
      </c>
      <c r="BK119" s="17">
        <f t="shared" si="34"/>
        <v>0</v>
      </c>
    </row>
    <row r="120" spans="1:63" x14ac:dyDescent="0.25">
      <c r="A120" s="8">
        <v>116</v>
      </c>
      <c r="B120" s="10"/>
      <c r="C120" s="10"/>
      <c r="D120" s="10"/>
      <c r="E120" s="10"/>
      <c r="F120" s="13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H120" s="14">
        <f t="shared" si="21"/>
        <v>0</v>
      </c>
      <c r="AJ120" s="15">
        <v>0</v>
      </c>
      <c r="AL120" s="19"/>
      <c r="AN120" s="17">
        <f t="shared" si="22"/>
        <v>0</v>
      </c>
      <c r="AP120" s="18"/>
      <c r="AQ120" s="10"/>
      <c r="AR120" s="17">
        <f t="shared" si="23"/>
        <v>0</v>
      </c>
      <c r="AT120" s="19"/>
      <c r="AV120" s="10"/>
      <c r="AW120" s="17">
        <f t="shared" si="24"/>
        <v>0</v>
      </c>
      <c r="AY120" s="13"/>
      <c r="AZ120" s="17">
        <f t="shared" si="25"/>
        <v>0</v>
      </c>
      <c r="BA120" s="20">
        <f t="shared" si="26"/>
        <v>0</v>
      </c>
      <c r="BC120" s="10">
        <f t="shared" si="30"/>
        <v>0</v>
      </c>
      <c r="BD120" s="17">
        <f t="shared" si="31"/>
        <v>0</v>
      </c>
      <c r="BE120" s="17">
        <f t="shared" si="32"/>
        <v>0</v>
      </c>
      <c r="BG120" s="18">
        <f t="shared" si="29"/>
        <v>0</v>
      </c>
      <c r="BH120" s="10">
        <f t="shared" si="27"/>
        <v>0</v>
      </c>
      <c r="BI120" s="17">
        <f t="shared" si="33"/>
        <v>0</v>
      </c>
      <c r="BJ120" s="21" t="str">
        <f t="shared" si="28"/>
        <v>nenhuma</v>
      </c>
      <c r="BK120" s="17">
        <f t="shared" si="34"/>
        <v>0</v>
      </c>
    </row>
    <row r="121" spans="1:63" x14ac:dyDescent="0.25">
      <c r="A121" s="8">
        <v>117</v>
      </c>
      <c r="B121" s="10"/>
      <c r="C121" s="10"/>
      <c r="D121" s="10"/>
      <c r="E121" s="10"/>
      <c r="F121" s="13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H121" s="14">
        <f t="shared" si="21"/>
        <v>0</v>
      </c>
      <c r="AJ121" s="15">
        <v>0</v>
      </c>
      <c r="AL121" s="19"/>
      <c r="AN121" s="17">
        <f t="shared" si="22"/>
        <v>0</v>
      </c>
      <c r="AP121" s="18"/>
      <c r="AQ121" s="10"/>
      <c r="AR121" s="17">
        <f t="shared" si="23"/>
        <v>0</v>
      </c>
      <c r="AT121" s="19"/>
      <c r="AV121" s="10"/>
      <c r="AW121" s="17">
        <f t="shared" si="24"/>
        <v>0</v>
      </c>
      <c r="AY121" s="13"/>
      <c r="AZ121" s="17">
        <f t="shared" si="25"/>
        <v>0</v>
      </c>
      <c r="BA121" s="20">
        <f t="shared" si="26"/>
        <v>0</v>
      </c>
      <c r="BC121" s="10">
        <f t="shared" si="30"/>
        <v>0</v>
      </c>
      <c r="BD121" s="17">
        <f t="shared" si="31"/>
        <v>0</v>
      </c>
      <c r="BE121" s="17">
        <f t="shared" si="32"/>
        <v>0</v>
      </c>
      <c r="BG121" s="18">
        <f t="shared" si="29"/>
        <v>0</v>
      </c>
      <c r="BH121" s="10">
        <f t="shared" si="27"/>
        <v>0</v>
      </c>
      <c r="BI121" s="17">
        <f t="shared" si="33"/>
        <v>0</v>
      </c>
      <c r="BJ121" s="21" t="str">
        <f t="shared" si="28"/>
        <v>nenhuma</v>
      </c>
      <c r="BK121" s="17">
        <f t="shared" si="34"/>
        <v>0</v>
      </c>
    </row>
    <row r="122" spans="1:63" x14ac:dyDescent="0.25">
      <c r="A122" s="8">
        <v>118</v>
      </c>
      <c r="B122" s="10"/>
      <c r="C122" s="10"/>
      <c r="D122" s="10"/>
      <c r="E122" s="10"/>
      <c r="F122" s="13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H122" s="14">
        <f t="shared" si="21"/>
        <v>0</v>
      </c>
      <c r="AJ122" s="15">
        <v>0</v>
      </c>
      <c r="AL122" s="19"/>
      <c r="AN122" s="17">
        <f t="shared" si="22"/>
        <v>0</v>
      </c>
      <c r="AP122" s="18"/>
      <c r="AQ122" s="10"/>
      <c r="AR122" s="17">
        <f t="shared" si="23"/>
        <v>0</v>
      </c>
      <c r="AT122" s="19"/>
      <c r="AV122" s="10"/>
      <c r="AW122" s="17">
        <f t="shared" si="24"/>
        <v>0</v>
      </c>
      <c r="AY122" s="13"/>
      <c r="AZ122" s="17">
        <f t="shared" si="25"/>
        <v>0</v>
      </c>
      <c r="BA122" s="20">
        <f t="shared" si="26"/>
        <v>0</v>
      </c>
      <c r="BC122" s="10">
        <f t="shared" si="30"/>
        <v>0</v>
      </c>
      <c r="BD122" s="17">
        <f t="shared" si="31"/>
        <v>0</v>
      </c>
      <c r="BE122" s="17">
        <f t="shared" si="32"/>
        <v>0</v>
      </c>
      <c r="BG122" s="18">
        <f t="shared" si="29"/>
        <v>0</v>
      </c>
      <c r="BH122" s="10">
        <f t="shared" si="27"/>
        <v>0</v>
      </c>
      <c r="BI122" s="17">
        <f t="shared" si="33"/>
        <v>0</v>
      </c>
      <c r="BJ122" s="21" t="str">
        <f t="shared" si="28"/>
        <v>nenhuma</v>
      </c>
      <c r="BK122" s="17">
        <f t="shared" si="34"/>
        <v>0</v>
      </c>
    </row>
    <row r="123" spans="1:63" x14ac:dyDescent="0.25">
      <c r="A123" s="8">
        <v>119</v>
      </c>
      <c r="B123" s="10"/>
      <c r="C123" s="10"/>
      <c r="D123" s="10"/>
      <c r="E123" s="10"/>
      <c r="F123" s="13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H123" s="14">
        <f t="shared" si="21"/>
        <v>0</v>
      </c>
      <c r="AJ123" s="15">
        <v>0</v>
      </c>
      <c r="AL123" s="19"/>
      <c r="AN123" s="17">
        <f t="shared" si="22"/>
        <v>0</v>
      </c>
      <c r="AP123" s="18"/>
      <c r="AQ123" s="10"/>
      <c r="AR123" s="17">
        <f t="shared" si="23"/>
        <v>0</v>
      </c>
      <c r="AT123" s="19"/>
      <c r="AV123" s="10"/>
      <c r="AW123" s="17">
        <f t="shared" si="24"/>
        <v>0</v>
      </c>
      <c r="AY123" s="13"/>
      <c r="AZ123" s="17">
        <f t="shared" si="25"/>
        <v>0</v>
      </c>
      <c r="BA123" s="20">
        <f t="shared" si="26"/>
        <v>0</v>
      </c>
      <c r="BC123" s="10">
        <f t="shared" ref="BC123:BC154" si="35">AV123</f>
        <v>0</v>
      </c>
      <c r="BD123" s="17">
        <f t="shared" ref="BD123:BD154" si="36">IF(BC123="","",SUMIF($AT$5:$AT$220,"="&amp;BC123,$AZ$5:$AZ$220))</f>
        <v>0</v>
      </c>
      <c r="BE123" s="17">
        <f t="shared" ref="BE123:BE154" si="37">IF(AW123&gt;=0,IF(BD123&gt;=0,AW123-BD123,0),0)</f>
        <v>0</v>
      </c>
      <c r="BG123" s="18">
        <f t="shared" si="29"/>
        <v>0</v>
      </c>
      <c r="BH123" s="10">
        <f t="shared" si="27"/>
        <v>0</v>
      </c>
      <c r="BI123" s="17">
        <f t="shared" ref="BI123:BI154" si="38">IF(BG123="","",IF(BH123="",SUMIF($B$5:$B$220,"="&amp;BG123,$AZ$5:$AZ$220),SUMIFS($AZ$5:$AZ$220, $B$5:$B$220, "="&amp;BG123, $C$5:$C$220,"="&amp;BH123)))</f>
        <v>0</v>
      </c>
      <c r="BJ123" s="21" t="str">
        <f t="shared" si="28"/>
        <v>nenhuma</v>
      </c>
      <c r="BK123" s="17">
        <f t="shared" ref="BK123:BK154" si="39">IF(AR123&gt;0,IF(BI123&gt;=0,AR123-BI123,0),0)</f>
        <v>0</v>
      </c>
    </row>
    <row r="124" spans="1:63" x14ac:dyDescent="0.25">
      <c r="A124" s="8">
        <v>120</v>
      </c>
      <c r="B124" s="10"/>
      <c r="C124" s="10"/>
      <c r="D124" s="10"/>
      <c r="E124" s="10"/>
      <c r="F124" s="13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H124" s="14">
        <f t="shared" si="21"/>
        <v>0</v>
      </c>
      <c r="AJ124" s="15">
        <v>0</v>
      </c>
      <c r="AL124" s="19"/>
      <c r="AN124" s="17">
        <f t="shared" si="22"/>
        <v>0</v>
      </c>
      <c r="AP124" s="18"/>
      <c r="AQ124" s="10"/>
      <c r="AR124" s="17">
        <f t="shared" si="23"/>
        <v>0</v>
      </c>
      <c r="AT124" s="19"/>
      <c r="AV124" s="10"/>
      <c r="AW124" s="17">
        <f t="shared" si="24"/>
        <v>0</v>
      </c>
      <c r="AY124" s="13"/>
      <c r="AZ124" s="17">
        <f t="shared" si="25"/>
        <v>0</v>
      </c>
      <c r="BA124" s="20">
        <f t="shared" si="26"/>
        <v>0</v>
      </c>
      <c r="BC124" s="10">
        <f t="shared" si="35"/>
        <v>0</v>
      </c>
      <c r="BD124" s="17">
        <f t="shared" si="36"/>
        <v>0</v>
      </c>
      <c r="BE124" s="17">
        <f t="shared" si="37"/>
        <v>0</v>
      </c>
      <c r="BG124" s="18">
        <f t="shared" si="29"/>
        <v>0</v>
      </c>
      <c r="BH124" s="10">
        <f t="shared" si="27"/>
        <v>0</v>
      </c>
      <c r="BI124" s="17">
        <f t="shared" si="38"/>
        <v>0</v>
      </c>
      <c r="BJ124" s="21" t="str">
        <f t="shared" si="28"/>
        <v>nenhuma</v>
      </c>
      <c r="BK124" s="17">
        <f t="shared" si="39"/>
        <v>0</v>
      </c>
    </row>
    <row r="125" spans="1:63" x14ac:dyDescent="0.25">
      <c r="A125" s="8">
        <v>121</v>
      </c>
      <c r="B125" s="10"/>
      <c r="C125" s="10"/>
      <c r="D125" s="10"/>
      <c r="E125" s="10"/>
      <c r="F125" s="13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H125" s="14">
        <f t="shared" si="21"/>
        <v>0</v>
      </c>
      <c r="AJ125" s="15">
        <v>0</v>
      </c>
      <c r="AL125" s="19"/>
      <c r="AN125" s="17">
        <f t="shared" si="22"/>
        <v>0</v>
      </c>
      <c r="AP125" s="18"/>
      <c r="AQ125" s="10"/>
      <c r="AR125" s="17">
        <f t="shared" si="23"/>
        <v>0</v>
      </c>
      <c r="AT125" s="19"/>
      <c r="AV125" s="10"/>
      <c r="AW125" s="17">
        <f t="shared" si="24"/>
        <v>0</v>
      </c>
      <c r="AY125" s="13"/>
      <c r="AZ125" s="17">
        <f t="shared" si="25"/>
        <v>0</v>
      </c>
      <c r="BA125" s="20">
        <f t="shared" si="26"/>
        <v>0</v>
      </c>
      <c r="BC125" s="10">
        <f t="shared" si="35"/>
        <v>0</v>
      </c>
      <c r="BD125" s="17">
        <f t="shared" si="36"/>
        <v>0</v>
      </c>
      <c r="BE125" s="17">
        <f t="shared" si="37"/>
        <v>0</v>
      </c>
      <c r="BG125" s="18">
        <f t="shared" si="29"/>
        <v>0</v>
      </c>
      <c r="BH125" s="10">
        <f t="shared" si="27"/>
        <v>0</v>
      </c>
      <c r="BI125" s="17">
        <f t="shared" si="38"/>
        <v>0</v>
      </c>
      <c r="BJ125" s="21" t="str">
        <f t="shared" si="28"/>
        <v>nenhuma</v>
      </c>
      <c r="BK125" s="17">
        <f t="shared" si="39"/>
        <v>0</v>
      </c>
    </row>
    <row r="126" spans="1:63" x14ac:dyDescent="0.25">
      <c r="A126" s="8">
        <v>122</v>
      </c>
      <c r="B126" s="10"/>
      <c r="C126" s="10"/>
      <c r="D126" s="10"/>
      <c r="E126" s="10"/>
      <c r="F126" s="13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H126" s="14">
        <f t="shared" si="21"/>
        <v>0</v>
      </c>
      <c r="AJ126" s="15">
        <v>0</v>
      </c>
      <c r="AL126" s="19"/>
      <c r="AN126" s="17">
        <f t="shared" si="22"/>
        <v>0</v>
      </c>
      <c r="AP126" s="18"/>
      <c r="AQ126" s="10"/>
      <c r="AR126" s="17">
        <f t="shared" si="23"/>
        <v>0</v>
      </c>
      <c r="AT126" s="19"/>
      <c r="AV126" s="10"/>
      <c r="AW126" s="17">
        <f t="shared" si="24"/>
        <v>0</v>
      </c>
      <c r="AY126" s="13"/>
      <c r="AZ126" s="17">
        <f t="shared" si="25"/>
        <v>0</v>
      </c>
      <c r="BA126" s="20">
        <f t="shared" si="26"/>
        <v>0</v>
      </c>
      <c r="BC126" s="10">
        <f t="shared" si="35"/>
        <v>0</v>
      </c>
      <c r="BD126" s="17">
        <f t="shared" si="36"/>
        <v>0</v>
      </c>
      <c r="BE126" s="17">
        <f t="shared" si="37"/>
        <v>0</v>
      </c>
      <c r="BG126" s="18">
        <f t="shared" si="29"/>
        <v>0</v>
      </c>
      <c r="BH126" s="10">
        <f t="shared" si="27"/>
        <v>0</v>
      </c>
      <c r="BI126" s="17">
        <f t="shared" si="38"/>
        <v>0</v>
      </c>
      <c r="BJ126" s="21" t="str">
        <f t="shared" si="28"/>
        <v>nenhuma</v>
      </c>
      <c r="BK126" s="17">
        <f t="shared" si="39"/>
        <v>0</v>
      </c>
    </row>
    <row r="127" spans="1:63" x14ac:dyDescent="0.25">
      <c r="A127" s="8">
        <v>123</v>
      </c>
      <c r="B127" s="10"/>
      <c r="C127" s="10"/>
      <c r="D127" s="10"/>
      <c r="E127" s="10"/>
      <c r="F127" s="13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H127" s="14">
        <f t="shared" si="21"/>
        <v>0</v>
      </c>
      <c r="AJ127" s="15">
        <v>0</v>
      </c>
      <c r="AL127" s="19"/>
      <c r="AN127" s="17">
        <f t="shared" si="22"/>
        <v>0</v>
      </c>
      <c r="AP127" s="18"/>
      <c r="AQ127" s="10"/>
      <c r="AR127" s="17">
        <f t="shared" si="23"/>
        <v>0</v>
      </c>
      <c r="AT127" s="19"/>
      <c r="AV127" s="10"/>
      <c r="AW127" s="17">
        <f t="shared" si="24"/>
        <v>0</v>
      </c>
      <c r="AY127" s="13"/>
      <c r="AZ127" s="17">
        <f t="shared" si="25"/>
        <v>0</v>
      </c>
      <c r="BA127" s="20">
        <f t="shared" si="26"/>
        <v>0</v>
      </c>
      <c r="BC127" s="10">
        <f t="shared" si="35"/>
        <v>0</v>
      </c>
      <c r="BD127" s="17">
        <f t="shared" si="36"/>
        <v>0</v>
      </c>
      <c r="BE127" s="17">
        <f t="shared" si="37"/>
        <v>0</v>
      </c>
      <c r="BG127" s="18">
        <f t="shared" si="29"/>
        <v>0</v>
      </c>
      <c r="BH127" s="10">
        <f t="shared" si="27"/>
        <v>0</v>
      </c>
      <c r="BI127" s="17">
        <f t="shared" si="38"/>
        <v>0</v>
      </c>
      <c r="BJ127" s="21" t="str">
        <f t="shared" si="28"/>
        <v>nenhuma</v>
      </c>
      <c r="BK127" s="17">
        <f t="shared" si="39"/>
        <v>0</v>
      </c>
    </row>
    <row r="128" spans="1:63" x14ac:dyDescent="0.25">
      <c r="A128" s="8">
        <v>124</v>
      </c>
      <c r="B128" s="10"/>
      <c r="C128" s="10"/>
      <c r="D128" s="10"/>
      <c r="E128" s="10"/>
      <c r="F128" s="13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H128" s="14">
        <f t="shared" si="21"/>
        <v>0</v>
      </c>
      <c r="AJ128" s="15">
        <v>0</v>
      </c>
      <c r="AL128" s="19"/>
      <c r="AN128" s="17">
        <f t="shared" si="22"/>
        <v>0</v>
      </c>
      <c r="AP128" s="18"/>
      <c r="AQ128" s="10"/>
      <c r="AR128" s="17">
        <f t="shared" si="23"/>
        <v>0</v>
      </c>
      <c r="AT128" s="19"/>
      <c r="AV128" s="10"/>
      <c r="AW128" s="17">
        <f t="shared" si="24"/>
        <v>0</v>
      </c>
      <c r="AY128" s="13"/>
      <c r="AZ128" s="17">
        <f t="shared" si="25"/>
        <v>0</v>
      </c>
      <c r="BA128" s="20">
        <f t="shared" si="26"/>
        <v>0</v>
      </c>
      <c r="BC128" s="10">
        <f t="shared" si="35"/>
        <v>0</v>
      </c>
      <c r="BD128" s="17">
        <f t="shared" si="36"/>
        <v>0</v>
      </c>
      <c r="BE128" s="17">
        <f t="shared" si="37"/>
        <v>0</v>
      </c>
      <c r="BG128" s="18">
        <f t="shared" si="29"/>
        <v>0</v>
      </c>
      <c r="BH128" s="10">
        <f t="shared" si="27"/>
        <v>0</v>
      </c>
      <c r="BI128" s="17">
        <f t="shared" si="38"/>
        <v>0</v>
      </c>
      <c r="BJ128" s="21" t="str">
        <f t="shared" si="28"/>
        <v>nenhuma</v>
      </c>
      <c r="BK128" s="17">
        <f t="shared" si="39"/>
        <v>0</v>
      </c>
    </row>
    <row r="129" spans="1:63" x14ac:dyDescent="0.25">
      <c r="A129" s="8">
        <v>125</v>
      </c>
      <c r="B129" s="10"/>
      <c r="C129" s="10"/>
      <c r="D129" s="10"/>
      <c r="E129" s="10"/>
      <c r="F129" s="13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H129" s="14">
        <f t="shared" si="21"/>
        <v>0</v>
      </c>
      <c r="AJ129" s="15">
        <v>0</v>
      </c>
      <c r="AL129" s="19"/>
      <c r="AN129" s="17">
        <f t="shared" si="22"/>
        <v>0</v>
      </c>
      <c r="AP129" s="18"/>
      <c r="AQ129" s="10"/>
      <c r="AR129" s="17">
        <f t="shared" si="23"/>
        <v>0</v>
      </c>
      <c r="AT129" s="19"/>
      <c r="AV129" s="10"/>
      <c r="AW129" s="17">
        <f t="shared" si="24"/>
        <v>0</v>
      </c>
      <c r="AY129" s="13"/>
      <c r="AZ129" s="17">
        <f t="shared" si="25"/>
        <v>0</v>
      </c>
      <c r="BA129" s="20">
        <f t="shared" si="26"/>
        <v>0</v>
      </c>
      <c r="BC129" s="10">
        <f t="shared" si="35"/>
        <v>0</v>
      </c>
      <c r="BD129" s="17">
        <f t="shared" si="36"/>
        <v>0</v>
      </c>
      <c r="BE129" s="17">
        <f t="shared" si="37"/>
        <v>0</v>
      </c>
      <c r="BG129" s="18">
        <f t="shared" si="29"/>
        <v>0</v>
      </c>
      <c r="BH129" s="10">
        <f t="shared" si="27"/>
        <v>0</v>
      </c>
      <c r="BI129" s="17">
        <f t="shared" si="38"/>
        <v>0</v>
      </c>
      <c r="BJ129" s="21" t="str">
        <f t="shared" si="28"/>
        <v>nenhuma</v>
      </c>
      <c r="BK129" s="17">
        <f t="shared" si="39"/>
        <v>0</v>
      </c>
    </row>
    <row r="130" spans="1:63" x14ac:dyDescent="0.25">
      <c r="A130" s="8">
        <v>126</v>
      </c>
      <c r="B130" s="10"/>
      <c r="C130" s="10"/>
      <c r="D130" s="10"/>
      <c r="E130" s="10"/>
      <c r="F130" s="13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H130" s="14">
        <f t="shared" si="21"/>
        <v>0</v>
      </c>
      <c r="AJ130" s="15">
        <v>0</v>
      </c>
      <c r="AL130" s="19"/>
      <c r="AN130" s="17">
        <f t="shared" si="22"/>
        <v>0</v>
      </c>
      <c r="AP130" s="18"/>
      <c r="AQ130" s="10"/>
      <c r="AR130" s="17">
        <f t="shared" si="23"/>
        <v>0</v>
      </c>
      <c r="AT130" s="19"/>
      <c r="AV130" s="10"/>
      <c r="AW130" s="17">
        <f t="shared" si="24"/>
        <v>0</v>
      </c>
      <c r="AY130" s="13"/>
      <c r="AZ130" s="17">
        <f t="shared" si="25"/>
        <v>0</v>
      </c>
      <c r="BA130" s="20">
        <f t="shared" si="26"/>
        <v>0</v>
      </c>
      <c r="BC130" s="10">
        <f t="shared" si="35"/>
        <v>0</v>
      </c>
      <c r="BD130" s="17">
        <f t="shared" si="36"/>
        <v>0</v>
      </c>
      <c r="BE130" s="17">
        <f t="shared" si="37"/>
        <v>0</v>
      </c>
      <c r="BG130" s="18">
        <f t="shared" si="29"/>
        <v>0</v>
      </c>
      <c r="BH130" s="10">
        <f t="shared" si="27"/>
        <v>0</v>
      </c>
      <c r="BI130" s="17">
        <f t="shared" si="38"/>
        <v>0</v>
      </c>
      <c r="BJ130" s="21" t="str">
        <f t="shared" si="28"/>
        <v>nenhuma</v>
      </c>
      <c r="BK130" s="17">
        <f t="shared" si="39"/>
        <v>0</v>
      </c>
    </row>
    <row r="131" spans="1:63" x14ac:dyDescent="0.25">
      <c r="A131" s="8">
        <v>127</v>
      </c>
      <c r="B131" s="10"/>
      <c r="C131" s="10"/>
      <c r="D131" s="10"/>
      <c r="E131" s="10"/>
      <c r="F131" s="13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H131" s="14">
        <f t="shared" si="21"/>
        <v>0</v>
      </c>
      <c r="AJ131" s="15">
        <v>0</v>
      </c>
      <c r="AL131" s="19"/>
      <c r="AN131" s="17">
        <f t="shared" si="22"/>
        <v>0</v>
      </c>
      <c r="AP131" s="18"/>
      <c r="AQ131" s="10"/>
      <c r="AR131" s="17">
        <f t="shared" si="23"/>
        <v>0</v>
      </c>
      <c r="AT131" s="19"/>
      <c r="AV131" s="10"/>
      <c r="AW131" s="17">
        <f t="shared" si="24"/>
        <v>0</v>
      </c>
      <c r="AY131" s="13"/>
      <c r="AZ131" s="17">
        <f t="shared" si="25"/>
        <v>0</v>
      </c>
      <c r="BA131" s="20">
        <f t="shared" si="26"/>
        <v>0</v>
      </c>
      <c r="BC131" s="10">
        <f t="shared" si="35"/>
        <v>0</v>
      </c>
      <c r="BD131" s="17">
        <f t="shared" si="36"/>
        <v>0</v>
      </c>
      <c r="BE131" s="17">
        <f t="shared" si="37"/>
        <v>0</v>
      </c>
      <c r="BG131" s="18">
        <f t="shared" si="29"/>
        <v>0</v>
      </c>
      <c r="BH131" s="10">
        <f t="shared" si="27"/>
        <v>0</v>
      </c>
      <c r="BI131" s="17">
        <f t="shared" si="38"/>
        <v>0</v>
      </c>
      <c r="BJ131" s="21" t="str">
        <f t="shared" si="28"/>
        <v>nenhuma</v>
      </c>
      <c r="BK131" s="17">
        <f t="shared" si="39"/>
        <v>0</v>
      </c>
    </row>
    <row r="132" spans="1:63" x14ac:dyDescent="0.25">
      <c r="A132" s="8">
        <v>128</v>
      </c>
      <c r="B132" s="10"/>
      <c r="C132" s="10"/>
      <c r="D132" s="10"/>
      <c r="E132" s="10"/>
      <c r="F132" s="13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H132" s="14">
        <f t="shared" si="21"/>
        <v>0</v>
      </c>
      <c r="AJ132" s="15">
        <v>0</v>
      </c>
      <c r="AL132" s="19"/>
      <c r="AN132" s="17">
        <f t="shared" si="22"/>
        <v>0</v>
      </c>
      <c r="AP132" s="18"/>
      <c r="AQ132" s="10"/>
      <c r="AR132" s="17">
        <f t="shared" si="23"/>
        <v>0</v>
      </c>
      <c r="AT132" s="19"/>
      <c r="AV132" s="10"/>
      <c r="AW132" s="17">
        <f t="shared" si="24"/>
        <v>0</v>
      </c>
      <c r="AY132" s="13"/>
      <c r="AZ132" s="17">
        <f t="shared" si="25"/>
        <v>0</v>
      </c>
      <c r="BA132" s="20">
        <f t="shared" si="26"/>
        <v>0</v>
      </c>
      <c r="BC132" s="10">
        <f t="shared" si="35"/>
        <v>0</v>
      </c>
      <c r="BD132" s="17">
        <f t="shared" si="36"/>
        <v>0</v>
      </c>
      <c r="BE132" s="17">
        <f t="shared" si="37"/>
        <v>0</v>
      </c>
      <c r="BG132" s="18">
        <f t="shared" si="29"/>
        <v>0</v>
      </c>
      <c r="BH132" s="10">
        <f t="shared" si="27"/>
        <v>0</v>
      </c>
      <c r="BI132" s="17">
        <f t="shared" si="38"/>
        <v>0</v>
      </c>
      <c r="BJ132" s="21" t="str">
        <f t="shared" si="28"/>
        <v>nenhuma</v>
      </c>
      <c r="BK132" s="17">
        <f t="shared" si="39"/>
        <v>0</v>
      </c>
    </row>
    <row r="133" spans="1:63" x14ac:dyDescent="0.25">
      <c r="A133" s="8">
        <v>129</v>
      </c>
      <c r="B133" s="10"/>
      <c r="C133" s="10"/>
      <c r="D133" s="10"/>
      <c r="E133" s="10"/>
      <c r="F133" s="13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H133" s="14">
        <f t="shared" ref="AH133:AH196" si="40">IF(SUM(F133:AF133)&gt;0,ROUND(AVERAGE(F133:AF133),4),0)</f>
        <v>0</v>
      </c>
      <c r="AJ133" s="15">
        <v>0</v>
      </c>
      <c r="AL133" s="19"/>
      <c r="AN133" s="17">
        <f t="shared" ref="AN133:AN196" si="41">IF(AJ133&gt;0,AJ133,AH133)*AL133</f>
        <v>0</v>
      </c>
      <c r="AP133" s="18"/>
      <c r="AQ133" s="10"/>
      <c r="AR133" s="17">
        <f t="shared" ref="AR133:AR196" si="42">IF(AP133="",0,IF(AQ133="",SUMIF($B$5:$B$220,"="&amp;AP133,$AN$5:$AN$220),SUMIFS($AN$5:$AN$220, $B$5:$B$220, "="&amp;AP133, $C$5:$C$220,"="&amp;AQ133)))</f>
        <v>0</v>
      </c>
      <c r="AT133" s="19"/>
      <c r="AV133" s="10"/>
      <c r="AW133" s="17">
        <f t="shared" ref="AW133:AW196" si="43">IF(AV133="",0,SUMIF($AT$5:$AT$220,"="&amp;AV133,$AN$5:$AN$220))</f>
        <v>0</v>
      </c>
      <c r="AY133" s="13"/>
      <c r="AZ133" s="17">
        <f t="shared" ref="AZ133:AZ196" si="44">AY133*AL133</f>
        <v>0</v>
      </c>
      <c r="BA133" s="20">
        <f t="shared" ref="BA133:BA196" si="45">IF(AN133&gt;0,IF(AZ133&gt;=0,AZ133-AN133,0),0)</f>
        <v>0</v>
      </c>
      <c r="BC133" s="10">
        <f t="shared" si="35"/>
        <v>0</v>
      </c>
      <c r="BD133" s="17">
        <f t="shared" si="36"/>
        <v>0</v>
      </c>
      <c r="BE133" s="17">
        <f t="shared" si="37"/>
        <v>0</v>
      </c>
      <c r="BG133" s="18">
        <f t="shared" si="29"/>
        <v>0</v>
      </c>
      <c r="BH133" s="10">
        <f t="shared" ref="BH133:BH196" si="46">AQ133</f>
        <v>0</v>
      </c>
      <c r="BI133" s="17">
        <f t="shared" si="38"/>
        <v>0</v>
      </c>
      <c r="BJ133" s="21" t="str">
        <f t="shared" ref="BJ133:BJ196" si="47">IF(BK133&gt;0,"anular",IF(BK133&lt;0,"reforçar","nenhuma"))</f>
        <v>nenhuma</v>
      </c>
      <c r="BK133" s="17">
        <f t="shared" si="39"/>
        <v>0</v>
      </c>
    </row>
    <row r="134" spans="1:63" x14ac:dyDescent="0.25">
      <c r="A134" s="8">
        <v>130</v>
      </c>
      <c r="B134" s="10"/>
      <c r="C134" s="10"/>
      <c r="D134" s="10"/>
      <c r="E134" s="10"/>
      <c r="F134" s="13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H134" s="14">
        <f t="shared" si="40"/>
        <v>0</v>
      </c>
      <c r="AJ134" s="15">
        <v>0</v>
      </c>
      <c r="AL134" s="19"/>
      <c r="AN134" s="17">
        <f t="shared" si="41"/>
        <v>0</v>
      </c>
      <c r="AP134" s="18"/>
      <c r="AQ134" s="10"/>
      <c r="AR134" s="17">
        <f t="shared" si="42"/>
        <v>0</v>
      </c>
      <c r="AT134" s="19"/>
      <c r="AV134" s="10"/>
      <c r="AW134" s="17">
        <f t="shared" si="43"/>
        <v>0</v>
      </c>
      <c r="AY134" s="13"/>
      <c r="AZ134" s="17">
        <f t="shared" si="44"/>
        <v>0</v>
      </c>
      <c r="BA134" s="20">
        <f t="shared" si="45"/>
        <v>0</v>
      </c>
      <c r="BC134" s="10">
        <f t="shared" si="35"/>
        <v>0</v>
      </c>
      <c r="BD134" s="17">
        <f t="shared" si="36"/>
        <v>0</v>
      </c>
      <c r="BE134" s="17">
        <f t="shared" si="37"/>
        <v>0</v>
      </c>
      <c r="BG134" s="18">
        <f t="shared" si="29"/>
        <v>0</v>
      </c>
      <c r="BH134" s="10">
        <f t="shared" si="46"/>
        <v>0</v>
      </c>
      <c r="BI134" s="17">
        <f t="shared" si="38"/>
        <v>0</v>
      </c>
      <c r="BJ134" s="21" t="str">
        <f t="shared" si="47"/>
        <v>nenhuma</v>
      </c>
      <c r="BK134" s="17">
        <f t="shared" si="39"/>
        <v>0</v>
      </c>
    </row>
    <row r="135" spans="1:63" x14ac:dyDescent="0.25">
      <c r="A135" s="8">
        <v>131</v>
      </c>
      <c r="B135" s="10"/>
      <c r="C135" s="10"/>
      <c r="D135" s="10"/>
      <c r="E135" s="10"/>
      <c r="F135" s="13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H135" s="14">
        <f t="shared" si="40"/>
        <v>0</v>
      </c>
      <c r="AJ135" s="15">
        <v>0</v>
      </c>
      <c r="AL135" s="19"/>
      <c r="AN135" s="17">
        <f t="shared" si="41"/>
        <v>0</v>
      </c>
      <c r="AP135" s="18"/>
      <c r="AQ135" s="10"/>
      <c r="AR135" s="17">
        <f t="shared" si="42"/>
        <v>0</v>
      </c>
      <c r="AT135" s="19"/>
      <c r="AV135" s="10"/>
      <c r="AW135" s="17">
        <f t="shared" si="43"/>
        <v>0</v>
      </c>
      <c r="AY135" s="13"/>
      <c r="AZ135" s="17">
        <f t="shared" si="44"/>
        <v>0</v>
      </c>
      <c r="BA135" s="20">
        <f t="shared" si="45"/>
        <v>0</v>
      </c>
      <c r="BC135" s="10">
        <f t="shared" si="35"/>
        <v>0</v>
      </c>
      <c r="BD135" s="17">
        <f t="shared" si="36"/>
        <v>0</v>
      </c>
      <c r="BE135" s="17">
        <f t="shared" si="37"/>
        <v>0</v>
      </c>
      <c r="BG135" s="18">
        <f t="shared" ref="BG135:BG198" si="48">AP135</f>
        <v>0</v>
      </c>
      <c r="BH135" s="10">
        <f t="shared" si="46"/>
        <v>0</v>
      </c>
      <c r="BI135" s="17">
        <f t="shared" si="38"/>
        <v>0</v>
      </c>
      <c r="BJ135" s="21" t="str">
        <f t="shared" si="47"/>
        <v>nenhuma</v>
      </c>
      <c r="BK135" s="17">
        <f t="shared" si="39"/>
        <v>0</v>
      </c>
    </row>
    <row r="136" spans="1:63" x14ac:dyDescent="0.25">
      <c r="A136" s="8">
        <v>132</v>
      </c>
      <c r="B136" s="10"/>
      <c r="C136" s="10"/>
      <c r="D136" s="10"/>
      <c r="E136" s="10"/>
      <c r="F136" s="13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H136" s="14">
        <f t="shared" si="40"/>
        <v>0</v>
      </c>
      <c r="AJ136" s="15">
        <v>0</v>
      </c>
      <c r="AL136" s="19"/>
      <c r="AN136" s="17">
        <f t="shared" si="41"/>
        <v>0</v>
      </c>
      <c r="AP136" s="18"/>
      <c r="AQ136" s="10"/>
      <c r="AR136" s="17">
        <f t="shared" si="42"/>
        <v>0</v>
      </c>
      <c r="AT136" s="19"/>
      <c r="AV136" s="10"/>
      <c r="AW136" s="17">
        <f t="shared" si="43"/>
        <v>0</v>
      </c>
      <c r="AY136" s="13"/>
      <c r="AZ136" s="17">
        <f t="shared" si="44"/>
        <v>0</v>
      </c>
      <c r="BA136" s="20">
        <f t="shared" si="45"/>
        <v>0</v>
      </c>
      <c r="BC136" s="10">
        <f t="shared" si="35"/>
        <v>0</v>
      </c>
      <c r="BD136" s="17">
        <f t="shared" si="36"/>
        <v>0</v>
      </c>
      <c r="BE136" s="17">
        <f t="shared" si="37"/>
        <v>0</v>
      </c>
      <c r="BG136" s="18">
        <f t="shared" si="48"/>
        <v>0</v>
      </c>
      <c r="BH136" s="10">
        <f t="shared" si="46"/>
        <v>0</v>
      </c>
      <c r="BI136" s="17">
        <f t="shared" si="38"/>
        <v>0</v>
      </c>
      <c r="BJ136" s="21" t="str">
        <f t="shared" si="47"/>
        <v>nenhuma</v>
      </c>
      <c r="BK136" s="17">
        <f t="shared" si="39"/>
        <v>0</v>
      </c>
    </row>
    <row r="137" spans="1:63" x14ac:dyDescent="0.25">
      <c r="A137" s="8">
        <v>133</v>
      </c>
      <c r="B137" s="10"/>
      <c r="C137" s="10"/>
      <c r="D137" s="10"/>
      <c r="E137" s="10"/>
      <c r="F137" s="13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H137" s="14">
        <f t="shared" si="40"/>
        <v>0</v>
      </c>
      <c r="AJ137" s="15">
        <v>0</v>
      </c>
      <c r="AL137" s="19"/>
      <c r="AN137" s="17">
        <f t="shared" si="41"/>
        <v>0</v>
      </c>
      <c r="AP137" s="18"/>
      <c r="AQ137" s="10"/>
      <c r="AR137" s="17">
        <f t="shared" si="42"/>
        <v>0</v>
      </c>
      <c r="AT137" s="19"/>
      <c r="AV137" s="10"/>
      <c r="AW137" s="17">
        <f t="shared" si="43"/>
        <v>0</v>
      </c>
      <c r="AY137" s="13"/>
      <c r="AZ137" s="17">
        <f t="shared" si="44"/>
        <v>0</v>
      </c>
      <c r="BA137" s="20">
        <f t="shared" si="45"/>
        <v>0</v>
      </c>
      <c r="BC137" s="10">
        <f t="shared" si="35"/>
        <v>0</v>
      </c>
      <c r="BD137" s="17">
        <f t="shared" si="36"/>
        <v>0</v>
      </c>
      <c r="BE137" s="17">
        <f t="shared" si="37"/>
        <v>0</v>
      </c>
      <c r="BG137" s="18">
        <f t="shared" si="48"/>
        <v>0</v>
      </c>
      <c r="BH137" s="10">
        <f t="shared" si="46"/>
        <v>0</v>
      </c>
      <c r="BI137" s="17">
        <f t="shared" si="38"/>
        <v>0</v>
      </c>
      <c r="BJ137" s="21" t="str">
        <f t="shared" si="47"/>
        <v>nenhuma</v>
      </c>
      <c r="BK137" s="17">
        <f t="shared" si="39"/>
        <v>0</v>
      </c>
    </row>
    <row r="138" spans="1:63" x14ac:dyDescent="0.25">
      <c r="A138" s="8">
        <v>134</v>
      </c>
      <c r="B138" s="10"/>
      <c r="C138" s="10"/>
      <c r="D138" s="10"/>
      <c r="E138" s="10"/>
      <c r="F138" s="13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H138" s="14">
        <f t="shared" si="40"/>
        <v>0</v>
      </c>
      <c r="AJ138" s="15">
        <v>0</v>
      </c>
      <c r="AL138" s="19"/>
      <c r="AN138" s="17">
        <f t="shared" si="41"/>
        <v>0</v>
      </c>
      <c r="AP138" s="18"/>
      <c r="AQ138" s="10"/>
      <c r="AR138" s="17">
        <f t="shared" si="42"/>
        <v>0</v>
      </c>
      <c r="AT138" s="19"/>
      <c r="AV138" s="10"/>
      <c r="AW138" s="17">
        <f t="shared" si="43"/>
        <v>0</v>
      </c>
      <c r="AY138" s="13"/>
      <c r="AZ138" s="17">
        <f t="shared" si="44"/>
        <v>0</v>
      </c>
      <c r="BA138" s="20">
        <f t="shared" si="45"/>
        <v>0</v>
      </c>
      <c r="BC138" s="10">
        <f t="shared" si="35"/>
        <v>0</v>
      </c>
      <c r="BD138" s="17">
        <f t="shared" si="36"/>
        <v>0</v>
      </c>
      <c r="BE138" s="17">
        <f t="shared" si="37"/>
        <v>0</v>
      </c>
      <c r="BG138" s="18">
        <f t="shared" si="48"/>
        <v>0</v>
      </c>
      <c r="BH138" s="10">
        <f t="shared" si="46"/>
        <v>0</v>
      </c>
      <c r="BI138" s="17">
        <f t="shared" si="38"/>
        <v>0</v>
      </c>
      <c r="BJ138" s="21" t="str">
        <f t="shared" si="47"/>
        <v>nenhuma</v>
      </c>
      <c r="BK138" s="17">
        <f t="shared" si="39"/>
        <v>0</v>
      </c>
    </row>
    <row r="139" spans="1:63" x14ac:dyDescent="0.25">
      <c r="A139" s="8">
        <v>135</v>
      </c>
      <c r="B139" s="10"/>
      <c r="C139" s="10"/>
      <c r="D139" s="10"/>
      <c r="E139" s="10"/>
      <c r="F139" s="13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H139" s="14">
        <f t="shared" si="40"/>
        <v>0</v>
      </c>
      <c r="AJ139" s="15">
        <v>0</v>
      </c>
      <c r="AL139" s="19"/>
      <c r="AN139" s="17">
        <f t="shared" si="41"/>
        <v>0</v>
      </c>
      <c r="AP139" s="18"/>
      <c r="AQ139" s="10"/>
      <c r="AR139" s="17">
        <f t="shared" si="42"/>
        <v>0</v>
      </c>
      <c r="AT139" s="19"/>
      <c r="AV139" s="10"/>
      <c r="AW139" s="17">
        <f t="shared" si="43"/>
        <v>0</v>
      </c>
      <c r="AY139" s="13"/>
      <c r="AZ139" s="17">
        <f t="shared" si="44"/>
        <v>0</v>
      </c>
      <c r="BA139" s="20">
        <f t="shared" si="45"/>
        <v>0</v>
      </c>
      <c r="BC139" s="10">
        <f t="shared" si="35"/>
        <v>0</v>
      </c>
      <c r="BD139" s="17">
        <f t="shared" si="36"/>
        <v>0</v>
      </c>
      <c r="BE139" s="17">
        <f t="shared" si="37"/>
        <v>0</v>
      </c>
      <c r="BG139" s="18">
        <f t="shared" si="48"/>
        <v>0</v>
      </c>
      <c r="BH139" s="10">
        <f t="shared" si="46"/>
        <v>0</v>
      </c>
      <c r="BI139" s="17">
        <f t="shared" si="38"/>
        <v>0</v>
      </c>
      <c r="BJ139" s="21" t="str">
        <f t="shared" si="47"/>
        <v>nenhuma</v>
      </c>
      <c r="BK139" s="17">
        <f t="shared" si="39"/>
        <v>0</v>
      </c>
    </row>
    <row r="140" spans="1:63" x14ac:dyDescent="0.25">
      <c r="A140" s="8">
        <v>136</v>
      </c>
      <c r="B140" s="10"/>
      <c r="C140" s="10"/>
      <c r="D140" s="10"/>
      <c r="E140" s="10"/>
      <c r="F140" s="13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H140" s="14">
        <f t="shared" si="40"/>
        <v>0</v>
      </c>
      <c r="AJ140" s="15">
        <v>0</v>
      </c>
      <c r="AL140" s="19"/>
      <c r="AN140" s="17">
        <f t="shared" si="41"/>
        <v>0</v>
      </c>
      <c r="AP140" s="18"/>
      <c r="AQ140" s="10"/>
      <c r="AR140" s="17">
        <f t="shared" si="42"/>
        <v>0</v>
      </c>
      <c r="AT140" s="19"/>
      <c r="AV140" s="10"/>
      <c r="AW140" s="17">
        <f t="shared" si="43"/>
        <v>0</v>
      </c>
      <c r="AY140" s="13"/>
      <c r="AZ140" s="17">
        <f t="shared" si="44"/>
        <v>0</v>
      </c>
      <c r="BA140" s="20">
        <f t="shared" si="45"/>
        <v>0</v>
      </c>
      <c r="BC140" s="10">
        <f t="shared" si="35"/>
        <v>0</v>
      </c>
      <c r="BD140" s="17">
        <f t="shared" si="36"/>
        <v>0</v>
      </c>
      <c r="BE140" s="17">
        <f t="shared" si="37"/>
        <v>0</v>
      </c>
      <c r="BG140" s="18">
        <f t="shared" si="48"/>
        <v>0</v>
      </c>
      <c r="BH140" s="10">
        <f t="shared" si="46"/>
        <v>0</v>
      </c>
      <c r="BI140" s="17">
        <f t="shared" si="38"/>
        <v>0</v>
      </c>
      <c r="BJ140" s="21" t="str">
        <f t="shared" si="47"/>
        <v>nenhuma</v>
      </c>
      <c r="BK140" s="17">
        <f t="shared" si="39"/>
        <v>0</v>
      </c>
    </row>
    <row r="141" spans="1:63" x14ac:dyDescent="0.25">
      <c r="A141" s="8">
        <v>137</v>
      </c>
      <c r="B141" s="10"/>
      <c r="C141" s="10"/>
      <c r="D141" s="10"/>
      <c r="E141" s="10"/>
      <c r="F141" s="13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H141" s="14">
        <f t="shared" si="40"/>
        <v>0</v>
      </c>
      <c r="AJ141" s="15">
        <v>0</v>
      </c>
      <c r="AL141" s="19"/>
      <c r="AN141" s="17">
        <f t="shared" si="41"/>
        <v>0</v>
      </c>
      <c r="AP141" s="18"/>
      <c r="AQ141" s="10"/>
      <c r="AR141" s="17">
        <f t="shared" si="42"/>
        <v>0</v>
      </c>
      <c r="AT141" s="19"/>
      <c r="AV141" s="10"/>
      <c r="AW141" s="17">
        <f t="shared" si="43"/>
        <v>0</v>
      </c>
      <c r="AY141" s="13"/>
      <c r="AZ141" s="17">
        <f t="shared" si="44"/>
        <v>0</v>
      </c>
      <c r="BA141" s="20">
        <f t="shared" si="45"/>
        <v>0</v>
      </c>
      <c r="BC141" s="10">
        <f t="shared" si="35"/>
        <v>0</v>
      </c>
      <c r="BD141" s="17">
        <f t="shared" si="36"/>
        <v>0</v>
      </c>
      <c r="BE141" s="17">
        <f t="shared" si="37"/>
        <v>0</v>
      </c>
      <c r="BG141" s="18">
        <f t="shared" si="48"/>
        <v>0</v>
      </c>
      <c r="BH141" s="10">
        <f t="shared" si="46"/>
        <v>0</v>
      </c>
      <c r="BI141" s="17">
        <f t="shared" si="38"/>
        <v>0</v>
      </c>
      <c r="BJ141" s="21" t="str">
        <f t="shared" si="47"/>
        <v>nenhuma</v>
      </c>
      <c r="BK141" s="17">
        <f t="shared" si="39"/>
        <v>0</v>
      </c>
    </row>
    <row r="142" spans="1:63" x14ac:dyDescent="0.25">
      <c r="A142" s="8">
        <v>138</v>
      </c>
      <c r="B142" s="10"/>
      <c r="C142" s="10"/>
      <c r="D142" s="10"/>
      <c r="E142" s="10"/>
      <c r="F142" s="13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H142" s="14">
        <f t="shared" si="40"/>
        <v>0</v>
      </c>
      <c r="AJ142" s="15">
        <v>0</v>
      </c>
      <c r="AL142" s="19"/>
      <c r="AN142" s="17">
        <f t="shared" si="41"/>
        <v>0</v>
      </c>
      <c r="AP142" s="18"/>
      <c r="AQ142" s="10"/>
      <c r="AR142" s="17">
        <f t="shared" si="42"/>
        <v>0</v>
      </c>
      <c r="AT142" s="19"/>
      <c r="AV142" s="10"/>
      <c r="AW142" s="17">
        <f t="shared" si="43"/>
        <v>0</v>
      </c>
      <c r="AY142" s="13"/>
      <c r="AZ142" s="17">
        <f t="shared" si="44"/>
        <v>0</v>
      </c>
      <c r="BA142" s="20">
        <f t="shared" si="45"/>
        <v>0</v>
      </c>
      <c r="BC142" s="10">
        <f t="shared" si="35"/>
        <v>0</v>
      </c>
      <c r="BD142" s="17">
        <f t="shared" si="36"/>
        <v>0</v>
      </c>
      <c r="BE142" s="17">
        <f t="shared" si="37"/>
        <v>0</v>
      </c>
      <c r="BG142" s="18">
        <f t="shared" si="48"/>
        <v>0</v>
      </c>
      <c r="BH142" s="10">
        <f t="shared" si="46"/>
        <v>0</v>
      </c>
      <c r="BI142" s="17">
        <f t="shared" si="38"/>
        <v>0</v>
      </c>
      <c r="BJ142" s="21" t="str">
        <f t="shared" si="47"/>
        <v>nenhuma</v>
      </c>
      <c r="BK142" s="17">
        <f t="shared" si="39"/>
        <v>0</v>
      </c>
    </row>
    <row r="143" spans="1:63" x14ac:dyDescent="0.25">
      <c r="A143" s="8">
        <v>139</v>
      </c>
      <c r="B143" s="10"/>
      <c r="C143" s="10"/>
      <c r="D143" s="10"/>
      <c r="E143" s="10"/>
      <c r="F143" s="13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H143" s="14">
        <f t="shared" si="40"/>
        <v>0</v>
      </c>
      <c r="AJ143" s="15">
        <v>0</v>
      </c>
      <c r="AL143" s="19"/>
      <c r="AN143" s="17">
        <f t="shared" si="41"/>
        <v>0</v>
      </c>
      <c r="AP143" s="18"/>
      <c r="AQ143" s="10"/>
      <c r="AR143" s="17">
        <f t="shared" si="42"/>
        <v>0</v>
      </c>
      <c r="AT143" s="19"/>
      <c r="AV143" s="10"/>
      <c r="AW143" s="17">
        <f t="shared" si="43"/>
        <v>0</v>
      </c>
      <c r="AY143" s="13"/>
      <c r="AZ143" s="17">
        <f t="shared" si="44"/>
        <v>0</v>
      </c>
      <c r="BA143" s="20">
        <f t="shared" si="45"/>
        <v>0</v>
      </c>
      <c r="BC143" s="10">
        <f t="shared" si="35"/>
        <v>0</v>
      </c>
      <c r="BD143" s="17">
        <f t="shared" si="36"/>
        <v>0</v>
      </c>
      <c r="BE143" s="17">
        <f t="shared" si="37"/>
        <v>0</v>
      </c>
      <c r="BG143" s="18">
        <f t="shared" si="48"/>
        <v>0</v>
      </c>
      <c r="BH143" s="10">
        <f t="shared" si="46"/>
        <v>0</v>
      </c>
      <c r="BI143" s="17">
        <f t="shared" si="38"/>
        <v>0</v>
      </c>
      <c r="BJ143" s="21" t="str">
        <f t="shared" si="47"/>
        <v>nenhuma</v>
      </c>
      <c r="BK143" s="17">
        <f t="shared" si="39"/>
        <v>0</v>
      </c>
    </row>
    <row r="144" spans="1:63" x14ac:dyDescent="0.25">
      <c r="A144" s="8">
        <v>140</v>
      </c>
      <c r="B144" s="10"/>
      <c r="C144" s="10"/>
      <c r="D144" s="10"/>
      <c r="E144" s="10"/>
      <c r="F144" s="13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H144" s="14">
        <f t="shared" si="40"/>
        <v>0</v>
      </c>
      <c r="AJ144" s="15">
        <v>0</v>
      </c>
      <c r="AL144" s="19"/>
      <c r="AN144" s="17">
        <f t="shared" si="41"/>
        <v>0</v>
      </c>
      <c r="AP144" s="18"/>
      <c r="AQ144" s="10"/>
      <c r="AR144" s="17">
        <f t="shared" si="42"/>
        <v>0</v>
      </c>
      <c r="AT144" s="19"/>
      <c r="AV144" s="10"/>
      <c r="AW144" s="17">
        <f t="shared" si="43"/>
        <v>0</v>
      </c>
      <c r="AY144" s="13"/>
      <c r="AZ144" s="17">
        <f t="shared" si="44"/>
        <v>0</v>
      </c>
      <c r="BA144" s="20">
        <f t="shared" si="45"/>
        <v>0</v>
      </c>
      <c r="BC144" s="10">
        <f t="shared" si="35"/>
        <v>0</v>
      </c>
      <c r="BD144" s="17">
        <f t="shared" si="36"/>
        <v>0</v>
      </c>
      <c r="BE144" s="17">
        <f t="shared" si="37"/>
        <v>0</v>
      </c>
      <c r="BG144" s="18">
        <f t="shared" si="48"/>
        <v>0</v>
      </c>
      <c r="BH144" s="10">
        <f t="shared" si="46"/>
        <v>0</v>
      </c>
      <c r="BI144" s="17">
        <f t="shared" si="38"/>
        <v>0</v>
      </c>
      <c r="BJ144" s="21" t="str">
        <f t="shared" si="47"/>
        <v>nenhuma</v>
      </c>
      <c r="BK144" s="17">
        <f t="shared" si="39"/>
        <v>0</v>
      </c>
    </row>
    <row r="145" spans="1:63" x14ac:dyDescent="0.25">
      <c r="A145" s="8">
        <v>141</v>
      </c>
      <c r="B145" s="10"/>
      <c r="C145" s="10"/>
      <c r="D145" s="10"/>
      <c r="E145" s="10"/>
      <c r="F145" s="13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H145" s="14">
        <f t="shared" si="40"/>
        <v>0</v>
      </c>
      <c r="AJ145" s="15">
        <v>0</v>
      </c>
      <c r="AL145" s="19"/>
      <c r="AN145" s="17">
        <f t="shared" si="41"/>
        <v>0</v>
      </c>
      <c r="AP145" s="18"/>
      <c r="AQ145" s="10"/>
      <c r="AR145" s="17">
        <f t="shared" si="42"/>
        <v>0</v>
      </c>
      <c r="AT145" s="19"/>
      <c r="AV145" s="10"/>
      <c r="AW145" s="17">
        <f t="shared" si="43"/>
        <v>0</v>
      </c>
      <c r="AY145" s="13"/>
      <c r="AZ145" s="17">
        <f t="shared" si="44"/>
        <v>0</v>
      </c>
      <c r="BA145" s="20">
        <f t="shared" si="45"/>
        <v>0</v>
      </c>
      <c r="BC145" s="10">
        <f t="shared" si="35"/>
        <v>0</v>
      </c>
      <c r="BD145" s="17">
        <f t="shared" si="36"/>
        <v>0</v>
      </c>
      <c r="BE145" s="17">
        <f t="shared" si="37"/>
        <v>0</v>
      </c>
      <c r="BG145" s="18">
        <f t="shared" si="48"/>
        <v>0</v>
      </c>
      <c r="BH145" s="10">
        <f t="shared" si="46"/>
        <v>0</v>
      </c>
      <c r="BI145" s="17">
        <f t="shared" si="38"/>
        <v>0</v>
      </c>
      <c r="BJ145" s="21" t="str">
        <f t="shared" si="47"/>
        <v>nenhuma</v>
      </c>
      <c r="BK145" s="17">
        <f t="shared" si="39"/>
        <v>0</v>
      </c>
    </row>
    <row r="146" spans="1:63" x14ac:dyDescent="0.25">
      <c r="A146" s="8">
        <v>142</v>
      </c>
      <c r="B146" s="10"/>
      <c r="C146" s="10"/>
      <c r="D146" s="10"/>
      <c r="E146" s="10"/>
      <c r="F146" s="13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H146" s="14">
        <f t="shared" si="40"/>
        <v>0</v>
      </c>
      <c r="AJ146" s="15">
        <v>0</v>
      </c>
      <c r="AL146" s="19"/>
      <c r="AN146" s="17">
        <f t="shared" si="41"/>
        <v>0</v>
      </c>
      <c r="AP146" s="18"/>
      <c r="AQ146" s="10"/>
      <c r="AR146" s="17">
        <f t="shared" si="42"/>
        <v>0</v>
      </c>
      <c r="AT146" s="19"/>
      <c r="AV146" s="10"/>
      <c r="AW146" s="17">
        <f t="shared" si="43"/>
        <v>0</v>
      </c>
      <c r="AY146" s="13"/>
      <c r="AZ146" s="17">
        <f t="shared" si="44"/>
        <v>0</v>
      </c>
      <c r="BA146" s="20">
        <f t="shared" si="45"/>
        <v>0</v>
      </c>
      <c r="BC146" s="10">
        <f t="shared" si="35"/>
        <v>0</v>
      </c>
      <c r="BD146" s="17">
        <f t="shared" si="36"/>
        <v>0</v>
      </c>
      <c r="BE146" s="17">
        <f t="shared" si="37"/>
        <v>0</v>
      </c>
      <c r="BG146" s="18">
        <f t="shared" si="48"/>
        <v>0</v>
      </c>
      <c r="BH146" s="10">
        <f t="shared" si="46"/>
        <v>0</v>
      </c>
      <c r="BI146" s="17">
        <f t="shared" si="38"/>
        <v>0</v>
      </c>
      <c r="BJ146" s="21" t="str">
        <f t="shared" si="47"/>
        <v>nenhuma</v>
      </c>
      <c r="BK146" s="17">
        <f t="shared" si="39"/>
        <v>0</v>
      </c>
    </row>
    <row r="147" spans="1:63" x14ac:dyDescent="0.25">
      <c r="A147" s="8">
        <v>143</v>
      </c>
      <c r="B147" s="10"/>
      <c r="C147" s="10"/>
      <c r="D147" s="10"/>
      <c r="E147" s="10"/>
      <c r="F147" s="13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H147" s="14">
        <f t="shared" si="40"/>
        <v>0</v>
      </c>
      <c r="AJ147" s="15">
        <v>0</v>
      </c>
      <c r="AL147" s="19"/>
      <c r="AN147" s="17">
        <f t="shared" si="41"/>
        <v>0</v>
      </c>
      <c r="AP147" s="18"/>
      <c r="AQ147" s="10"/>
      <c r="AR147" s="17">
        <f t="shared" si="42"/>
        <v>0</v>
      </c>
      <c r="AT147" s="19"/>
      <c r="AV147" s="10"/>
      <c r="AW147" s="17">
        <f t="shared" si="43"/>
        <v>0</v>
      </c>
      <c r="AY147" s="13"/>
      <c r="AZ147" s="17">
        <f t="shared" si="44"/>
        <v>0</v>
      </c>
      <c r="BA147" s="20">
        <f t="shared" si="45"/>
        <v>0</v>
      </c>
      <c r="BC147" s="10">
        <f t="shared" si="35"/>
        <v>0</v>
      </c>
      <c r="BD147" s="17">
        <f t="shared" si="36"/>
        <v>0</v>
      </c>
      <c r="BE147" s="17">
        <f t="shared" si="37"/>
        <v>0</v>
      </c>
      <c r="BG147" s="18">
        <f t="shared" si="48"/>
        <v>0</v>
      </c>
      <c r="BH147" s="10">
        <f t="shared" si="46"/>
        <v>0</v>
      </c>
      <c r="BI147" s="17">
        <f t="shared" si="38"/>
        <v>0</v>
      </c>
      <c r="BJ147" s="21" t="str">
        <f t="shared" si="47"/>
        <v>nenhuma</v>
      </c>
      <c r="BK147" s="17">
        <f t="shared" si="39"/>
        <v>0</v>
      </c>
    </row>
    <row r="148" spans="1:63" x14ac:dyDescent="0.25">
      <c r="A148" s="8">
        <v>144</v>
      </c>
      <c r="B148" s="10"/>
      <c r="C148" s="10"/>
      <c r="D148" s="10"/>
      <c r="E148" s="10"/>
      <c r="F148" s="13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H148" s="14">
        <f t="shared" si="40"/>
        <v>0</v>
      </c>
      <c r="AJ148" s="15">
        <v>0</v>
      </c>
      <c r="AL148" s="19"/>
      <c r="AN148" s="17">
        <f t="shared" si="41"/>
        <v>0</v>
      </c>
      <c r="AP148" s="18"/>
      <c r="AQ148" s="10"/>
      <c r="AR148" s="17">
        <f t="shared" si="42"/>
        <v>0</v>
      </c>
      <c r="AT148" s="19"/>
      <c r="AV148" s="10"/>
      <c r="AW148" s="17">
        <f t="shared" si="43"/>
        <v>0</v>
      </c>
      <c r="AY148" s="13"/>
      <c r="AZ148" s="17">
        <f t="shared" si="44"/>
        <v>0</v>
      </c>
      <c r="BA148" s="20">
        <f t="shared" si="45"/>
        <v>0</v>
      </c>
      <c r="BC148" s="10">
        <f t="shared" si="35"/>
        <v>0</v>
      </c>
      <c r="BD148" s="17">
        <f t="shared" si="36"/>
        <v>0</v>
      </c>
      <c r="BE148" s="17">
        <f t="shared" si="37"/>
        <v>0</v>
      </c>
      <c r="BG148" s="18">
        <f t="shared" si="48"/>
        <v>0</v>
      </c>
      <c r="BH148" s="10">
        <f t="shared" si="46"/>
        <v>0</v>
      </c>
      <c r="BI148" s="17">
        <f t="shared" si="38"/>
        <v>0</v>
      </c>
      <c r="BJ148" s="21" t="str">
        <f t="shared" si="47"/>
        <v>nenhuma</v>
      </c>
      <c r="BK148" s="17">
        <f t="shared" si="39"/>
        <v>0</v>
      </c>
    </row>
    <row r="149" spans="1:63" x14ac:dyDescent="0.25">
      <c r="A149" s="8">
        <v>145</v>
      </c>
      <c r="B149" s="10"/>
      <c r="C149" s="10"/>
      <c r="D149" s="10"/>
      <c r="E149" s="10"/>
      <c r="F149" s="13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H149" s="14">
        <f t="shared" si="40"/>
        <v>0</v>
      </c>
      <c r="AJ149" s="15">
        <v>0</v>
      </c>
      <c r="AL149" s="19"/>
      <c r="AN149" s="17">
        <f t="shared" si="41"/>
        <v>0</v>
      </c>
      <c r="AP149" s="18"/>
      <c r="AQ149" s="10"/>
      <c r="AR149" s="17">
        <f t="shared" si="42"/>
        <v>0</v>
      </c>
      <c r="AT149" s="19"/>
      <c r="AV149" s="10"/>
      <c r="AW149" s="17">
        <f t="shared" si="43"/>
        <v>0</v>
      </c>
      <c r="AY149" s="13"/>
      <c r="AZ149" s="17">
        <f t="shared" si="44"/>
        <v>0</v>
      </c>
      <c r="BA149" s="20">
        <f t="shared" si="45"/>
        <v>0</v>
      </c>
      <c r="BC149" s="10">
        <f t="shared" si="35"/>
        <v>0</v>
      </c>
      <c r="BD149" s="17">
        <f t="shared" si="36"/>
        <v>0</v>
      </c>
      <c r="BE149" s="17">
        <f t="shared" si="37"/>
        <v>0</v>
      </c>
      <c r="BG149" s="18">
        <f t="shared" si="48"/>
        <v>0</v>
      </c>
      <c r="BH149" s="10">
        <f t="shared" si="46"/>
        <v>0</v>
      </c>
      <c r="BI149" s="17">
        <f t="shared" si="38"/>
        <v>0</v>
      </c>
      <c r="BJ149" s="21" t="str">
        <f t="shared" si="47"/>
        <v>nenhuma</v>
      </c>
      <c r="BK149" s="17">
        <f t="shared" si="39"/>
        <v>0</v>
      </c>
    </row>
    <row r="150" spans="1:63" x14ac:dyDescent="0.25">
      <c r="A150" s="8">
        <v>146</v>
      </c>
      <c r="B150" s="10"/>
      <c r="C150" s="10"/>
      <c r="D150" s="10"/>
      <c r="E150" s="10"/>
      <c r="F150" s="13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H150" s="14">
        <f t="shared" si="40"/>
        <v>0</v>
      </c>
      <c r="AJ150" s="15">
        <v>0</v>
      </c>
      <c r="AL150" s="19"/>
      <c r="AN150" s="17">
        <f t="shared" si="41"/>
        <v>0</v>
      </c>
      <c r="AP150" s="18"/>
      <c r="AQ150" s="10"/>
      <c r="AR150" s="17">
        <f t="shared" si="42"/>
        <v>0</v>
      </c>
      <c r="AT150" s="19"/>
      <c r="AV150" s="10"/>
      <c r="AW150" s="17">
        <f t="shared" si="43"/>
        <v>0</v>
      </c>
      <c r="AY150" s="13"/>
      <c r="AZ150" s="17">
        <f t="shared" si="44"/>
        <v>0</v>
      </c>
      <c r="BA150" s="20">
        <f t="shared" si="45"/>
        <v>0</v>
      </c>
      <c r="BC150" s="10">
        <f t="shared" si="35"/>
        <v>0</v>
      </c>
      <c r="BD150" s="17">
        <f t="shared" si="36"/>
        <v>0</v>
      </c>
      <c r="BE150" s="17">
        <f t="shared" si="37"/>
        <v>0</v>
      </c>
      <c r="BG150" s="18">
        <f t="shared" si="48"/>
        <v>0</v>
      </c>
      <c r="BH150" s="10">
        <f t="shared" si="46"/>
        <v>0</v>
      </c>
      <c r="BI150" s="17">
        <f t="shared" si="38"/>
        <v>0</v>
      </c>
      <c r="BJ150" s="21" t="str">
        <f t="shared" si="47"/>
        <v>nenhuma</v>
      </c>
      <c r="BK150" s="17">
        <f t="shared" si="39"/>
        <v>0</v>
      </c>
    </row>
    <row r="151" spans="1:63" x14ac:dyDescent="0.25">
      <c r="A151" s="8">
        <v>147</v>
      </c>
      <c r="B151" s="10"/>
      <c r="C151" s="10"/>
      <c r="D151" s="10"/>
      <c r="E151" s="10"/>
      <c r="F151" s="13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H151" s="14">
        <f t="shared" si="40"/>
        <v>0</v>
      </c>
      <c r="AJ151" s="15">
        <v>0</v>
      </c>
      <c r="AL151" s="19"/>
      <c r="AN151" s="17">
        <f t="shared" si="41"/>
        <v>0</v>
      </c>
      <c r="AP151" s="18"/>
      <c r="AQ151" s="10"/>
      <c r="AR151" s="17">
        <f t="shared" si="42"/>
        <v>0</v>
      </c>
      <c r="AT151" s="19"/>
      <c r="AV151" s="10"/>
      <c r="AW151" s="17">
        <f t="shared" si="43"/>
        <v>0</v>
      </c>
      <c r="AY151" s="13"/>
      <c r="AZ151" s="17">
        <f t="shared" si="44"/>
        <v>0</v>
      </c>
      <c r="BA151" s="20">
        <f t="shared" si="45"/>
        <v>0</v>
      </c>
      <c r="BC151" s="10">
        <f t="shared" si="35"/>
        <v>0</v>
      </c>
      <c r="BD151" s="17">
        <f t="shared" si="36"/>
        <v>0</v>
      </c>
      <c r="BE151" s="17">
        <f t="shared" si="37"/>
        <v>0</v>
      </c>
      <c r="BG151" s="18">
        <f t="shared" si="48"/>
        <v>0</v>
      </c>
      <c r="BH151" s="10">
        <f t="shared" si="46"/>
        <v>0</v>
      </c>
      <c r="BI151" s="17">
        <f t="shared" si="38"/>
        <v>0</v>
      </c>
      <c r="BJ151" s="21" t="str">
        <f t="shared" si="47"/>
        <v>nenhuma</v>
      </c>
      <c r="BK151" s="17">
        <f t="shared" si="39"/>
        <v>0</v>
      </c>
    </row>
    <row r="152" spans="1:63" x14ac:dyDescent="0.25">
      <c r="A152" s="8">
        <v>148</v>
      </c>
      <c r="B152" s="10"/>
      <c r="C152" s="10"/>
      <c r="D152" s="10"/>
      <c r="E152" s="10"/>
      <c r="F152" s="13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H152" s="14">
        <f t="shared" si="40"/>
        <v>0</v>
      </c>
      <c r="AJ152" s="15">
        <v>0</v>
      </c>
      <c r="AL152" s="19"/>
      <c r="AN152" s="17">
        <f t="shared" si="41"/>
        <v>0</v>
      </c>
      <c r="AP152" s="18"/>
      <c r="AQ152" s="10"/>
      <c r="AR152" s="17">
        <f t="shared" si="42"/>
        <v>0</v>
      </c>
      <c r="AT152" s="19"/>
      <c r="AV152" s="10"/>
      <c r="AW152" s="17">
        <f t="shared" si="43"/>
        <v>0</v>
      </c>
      <c r="AY152" s="13"/>
      <c r="AZ152" s="17">
        <f t="shared" si="44"/>
        <v>0</v>
      </c>
      <c r="BA152" s="20">
        <f t="shared" si="45"/>
        <v>0</v>
      </c>
      <c r="BC152" s="10">
        <f t="shared" si="35"/>
        <v>0</v>
      </c>
      <c r="BD152" s="17">
        <f t="shared" si="36"/>
        <v>0</v>
      </c>
      <c r="BE152" s="17">
        <f t="shared" si="37"/>
        <v>0</v>
      </c>
      <c r="BG152" s="18">
        <f t="shared" si="48"/>
        <v>0</v>
      </c>
      <c r="BH152" s="10">
        <f t="shared" si="46"/>
        <v>0</v>
      </c>
      <c r="BI152" s="17">
        <f t="shared" si="38"/>
        <v>0</v>
      </c>
      <c r="BJ152" s="21" t="str">
        <f t="shared" si="47"/>
        <v>nenhuma</v>
      </c>
      <c r="BK152" s="17">
        <f t="shared" si="39"/>
        <v>0</v>
      </c>
    </row>
    <row r="153" spans="1:63" x14ac:dyDescent="0.25">
      <c r="A153" s="8">
        <v>149</v>
      </c>
      <c r="B153" s="10"/>
      <c r="C153" s="10"/>
      <c r="D153" s="10"/>
      <c r="E153" s="10"/>
      <c r="F153" s="13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H153" s="14">
        <f t="shared" si="40"/>
        <v>0</v>
      </c>
      <c r="AJ153" s="15">
        <v>0</v>
      </c>
      <c r="AL153" s="19"/>
      <c r="AN153" s="17">
        <f t="shared" si="41"/>
        <v>0</v>
      </c>
      <c r="AP153" s="18"/>
      <c r="AQ153" s="10"/>
      <c r="AR153" s="17">
        <f t="shared" si="42"/>
        <v>0</v>
      </c>
      <c r="AT153" s="19"/>
      <c r="AV153" s="10"/>
      <c r="AW153" s="17">
        <f t="shared" si="43"/>
        <v>0</v>
      </c>
      <c r="AY153" s="13"/>
      <c r="AZ153" s="17">
        <f t="shared" si="44"/>
        <v>0</v>
      </c>
      <c r="BA153" s="20">
        <f t="shared" si="45"/>
        <v>0</v>
      </c>
      <c r="BC153" s="10">
        <f t="shared" si="35"/>
        <v>0</v>
      </c>
      <c r="BD153" s="17">
        <f t="shared" si="36"/>
        <v>0</v>
      </c>
      <c r="BE153" s="17">
        <f t="shared" si="37"/>
        <v>0</v>
      </c>
      <c r="BG153" s="18">
        <f t="shared" si="48"/>
        <v>0</v>
      </c>
      <c r="BH153" s="10">
        <f t="shared" si="46"/>
        <v>0</v>
      </c>
      <c r="BI153" s="17">
        <f t="shared" si="38"/>
        <v>0</v>
      </c>
      <c r="BJ153" s="21" t="str">
        <f t="shared" si="47"/>
        <v>nenhuma</v>
      </c>
      <c r="BK153" s="17">
        <f t="shared" si="39"/>
        <v>0</v>
      </c>
    </row>
    <row r="154" spans="1:63" x14ac:dyDescent="0.25">
      <c r="A154" s="8">
        <v>150</v>
      </c>
      <c r="B154" s="10"/>
      <c r="C154" s="10"/>
      <c r="D154" s="10"/>
      <c r="E154" s="10"/>
      <c r="F154" s="13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H154" s="14">
        <f t="shared" si="40"/>
        <v>0</v>
      </c>
      <c r="AJ154" s="15">
        <v>0</v>
      </c>
      <c r="AL154" s="19"/>
      <c r="AN154" s="17">
        <f t="shared" si="41"/>
        <v>0</v>
      </c>
      <c r="AP154" s="18"/>
      <c r="AQ154" s="10"/>
      <c r="AR154" s="17">
        <f t="shared" si="42"/>
        <v>0</v>
      </c>
      <c r="AT154" s="19"/>
      <c r="AV154" s="10"/>
      <c r="AW154" s="17">
        <f t="shared" si="43"/>
        <v>0</v>
      </c>
      <c r="AY154" s="13"/>
      <c r="AZ154" s="17">
        <f t="shared" si="44"/>
        <v>0</v>
      </c>
      <c r="BA154" s="20">
        <f t="shared" si="45"/>
        <v>0</v>
      </c>
      <c r="BC154" s="10">
        <f t="shared" si="35"/>
        <v>0</v>
      </c>
      <c r="BD154" s="17">
        <f t="shared" si="36"/>
        <v>0</v>
      </c>
      <c r="BE154" s="17">
        <f t="shared" si="37"/>
        <v>0</v>
      </c>
      <c r="BG154" s="18">
        <f t="shared" si="48"/>
        <v>0</v>
      </c>
      <c r="BH154" s="10">
        <f t="shared" si="46"/>
        <v>0</v>
      </c>
      <c r="BI154" s="17">
        <f t="shared" si="38"/>
        <v>0</v>
      </c>
      <c r="BJ154" s="21" t="str">
        <f t="shared" si="47"/>
        <v>nenhuma</v>
      </c>
      <c r="BK154" s="17">
        <f t="shared" si="39"/>
        <v>0</v>
      </c>
    </row>
    <row r="155" spans="1:63" x14ac:dyDescent="0.25">
      <c r="A155" s="8">
        <v>151</v>
      </c>
      <c r="B155" s="10"/>
      <c r="C155" s="10"/>
      <c r="D155" s="10"/>
      <c r="E155" s="10"/>
      <c r="F155" s="13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H155" s="14">
        <f t="shared" si="40"/>
        <v>0</v>
      </c>
      <c r="AJ155" s="15">
        <v>0</v>
      </c>
      <c r="AL155" s="19"/>
      <c r="AN155" s="17">
        <f t="shared" si="41"/>
        <v>0</v>
      </c>
      <c r="AP155" s="18"/>
      <c r="AQ155" s="10"/>
      <c r="AR155" s="17">
        <f t="shared" si="42"/>
        <v>0</v>
      </c>
      <c r="AT155" s="19"/>
      <c r="AV155" s="10"/>
      <c r="AW155" s="17">
        <f t="shared" si="43"/>
        <v>0</v>
      </c>
      <c r="AY155" s="13"/>
      <c r="AZ155" s="17">
        <f t="shared" si="44"/>
        <v>0</v>
      </c>
      <c r="BA155" s="20">
        <f t="shared" si="45"/>
        <v>0</v>
      </c>
      <c r="BC155" s="10">
        <f t="shared" ref="BC155:BC186" si="49">AV155</f>
        <v>0</v>
      </c>
      <c r="BD155" s="17">
        <f t="shared" ref="BD155:BD186" si="50">IF(BC155="","",SUMIF($AT$5:$AT$220,"="&amp;BC155,$AZ$5:$AZ$220))</f>
        <v>0</v>
      </c>
      <c r="BE155" s="17">
        <f t="shared" ref="BE155:BE186" si="51">IF(AW155&gt;=0,IF(BD155&gt;=0,AW155-BD155,0),0)</f>
        <v>0</v>
      </c>
      <c r="BG155" s="18">
        <f t="shared" si="48"/>
        <v>0</v>
      </c>
      <c r="BH155" s="10">
        <f t="shared" si="46"/>
        <v>0</v>
      </c>
      <c r="BI155" s="17">
        <f t="shared" ref="BI155:BI186" si="52">IF(BG155="","",IF(BH155="",SUMIF($B$5:$B$220,"="&amp;BG155,$AZ$5:$AZ$220),SUMIFS($AZ$5:$AZ$220, $B$5:$B$220, "="&amp;BG155, $C$5:$C$220,"="&amp;BH155)))</f>
        <v>0</v>
      </c>
      <c r="BJ155" s="21" t="str">
        <f t="shared" si="47"/>
        <v>nenhuma</v>
      </c>
      <c r="BK155" s="17">
        <f t="shared" ref="BK155:BK186" si="53">IF(AR155&gt;0,IF(BI155&gt;=0,AR155-BI155,0),0)</f>
        <v>0</v>
      </c>
    </row>
    <row r="156" spans="1:63" x14ac:dyDescent="0.25">
      <c r="A156" s="8">
        <v>152</v>
      </c>
      <c r="B156" s="10"/>
      <c r="C156" s="10"/>
      <c r="D156" s="10"/>
      <c r="E156" s="10"/>
      <c r="F156" s="13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H156" s="14">
        <f t="shared" si="40"/>
        <v>0</v>
      </c>
      <c r="AJ156" s="15">
        <v>0</v>
      </c>
      <c r="AL156" s="19"/>
      <c r="AN156" s="17">
        <f t="shared" si="41"/>
        <v>0</v>
      </c>
      <c r="AP156" s="18"/>
      <c r="AQ156" s="10"/>
      <c r="AR156" s="17">
        <f t="shared" si="42"/>
        <v>0</v>
      </c>
      <c r="AT156" s="19"/>
      <c r="AV156" s="10"/>
      <c r="AW156" s="17">
        <f t="shared" si="43"/>
        <v>0</v>
      </c>
      <c r="AY156" s="13"/>
      <c r="AZ156" s="17">
        <f t="shared" si="44"/>
        <v>0</v>
      </c>
      <c r="BA156" s="20">
        <f t="shared" si="45"/>
        <v>0</v>
      </c>
      <c r="BC156" s="10">
        <f t="shared" si="49"/>
        <v>0</v>
      </c>
      <c r="BD156" s="17">
        <f t="shared" si="50"/>
        <v>0</v>
      </c>
      <c r="BE156" s="17">
        <f t="shared" si="51"/>
        <v>0</v>
      </c>
      <c r="BG156" s="18">
        <f t="shared" si="48"/>
        <v>0</v>
      </c>
      <c r="BH156" s="10">
        <f t="shared" si="46"/>
        <v>0</v>
      </c>
      <c r="BI156" s="17">
        <f t="shared" si="52"/>
        <v>0</v>
      </c>
      <c r="BJ156" s="21" t="str">
        <f t="shared" si="47"/>
        <v>nenhuma</v>
      </c>
      <c r="BK156" s="17">
        <f t="shared" si="53"/>
        <v>0</v>
      </c>
    </row>
    <row r="157" spans="1:63" x14ac:dyDescent="0.25">
      <c r="A157" s="8">
        <v>153</v>
      </c>
      <c r="B157" s="10"/>
      <c r="C157" s="10"/>
      <c r="D157" s="10"/>
      <c r="E157" s="10"/>
      <c r="F157" s="13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H157" s="14">
        <f t="shared" si="40"/>
        <v>0</v>
      </c>
      <c r="AJ157" s="15">
        <v>0</v>
      </c>
      <c r="AL157" s="19"/>
      <c r="AN157" s="17">
        <f t="shared" si="41"/>
        <v>0</v>
      </c>
      <c r="AP157" s="18"/>
      <c r="AQ157" s="10"/>
      <c r="AR157" s="17">
        <f t="shared" si="42"/>
        <v>0</v>
      </c>
      <c r="AT157" s="19"/>
      <c r="AV157" s="10"/>
      <c r="AW157" s="17">
        <f t="shared" si="43"/>
        <v>0</v>
      </c>
      <c r="AY157" s="13"/>
      <c r="AZ157" s="17">
        <f t="shared" si="44"/>
        <v>0</v>
      </c>
      <c r="BA157" s="20">
        <f t="shared" si="45"/>
        <v>0</v>
      </c>
      <c r="BC157" s="10">
        <f t="shared" si="49"/>
        <v>0</v>
      </c>
      <c r="BD157" s="17">
        <f t="shared" si="50"/>
        <v>0</v>
      </c>
      <c r="BE157" s="17">
        <f t="shared" si="51"/>
        <v>0</v>
      </c>
      <c r="BG157" s="18">
        <f t="shared" si="48"/>
        <v>0</v>
      </c>
      <c r="BH157" s="10">
        <f t="shared" si="46"/>
        <v>0</v>
      </c>
      <c r="BI157" s="17">
        <f t="shared" si="52"/>
        <v>0</v>
      </c>
      <c r="BJ157" s="21" t="str">
        <f t="shared" si="47"/>
        <v>nenhuma</v>
      </c>
      <c r="BK157" s="17">
        <f t="shared" si="53"/>
        <v>0</v>
      </c>
    </row>
    <row r="158" spans="1:63" x14ac:dyDescent="0.25">
      <c r="A158" s="8">
        <v>154</v>
      </c>
      <c r="B158" s="10"/>
      <c r="C158" s="10"/>
      <c r="D158" s="10"/>
      <c r="E158" s="10"/>
      <c r="F158" s="13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H158" s="14">
        <f t="shared" si="40"/>
        <v>0</v>
      </c>
      <c r="AJ158" s="15">
        <v>0</v>
      </c>
      <c r="AL158" s="19"/>
      <c r="AN158" s="17">
        <f t="shared" si="41"/>
        <v>0</v>
      </c>
      <c r="AP158" s="18"/>
      <c r="AQ158" s="10"/>
      <c r="AR158" s="17">
        <f t="shared" si="42"/>
        <v>0</v>
      </c>
      <c r="AT158" s="19"/>
      <c r="AV158" s="10"/>
      <c r="AW158" s="17">
        <f t="shared" si="43"/>
        <v>0</v>
      </c>
      <c r="AY158" s="13"/>
      <c r="AZ158" s="17">
        <f t="shared" si="44"/>
        <v>0</v>
      </c>
      <c r="BA158" s="20">
        <f t="shared" si="45"/>
        <v>0</v>
      </c>
      <c r="BC158" s="10">
        <f t="shared" si="49"/>
        <v>0</v>
      </c>
      <c r="BD158" s="17">
        <f t="shared" si="50"/>
        <v>0</v>
      </c>
      <c r="BE158" s="17">
        <f t="shared" si="51"/>
        <v>0</v>
      </c>
      <c r="BG158" s="18">
        <f t="shared" si="48"/>
        <v>0</v>
      </c>
      <c r="BH158" s="10">
        <f t="shared" si="46"/>
        <v>0</v>
      </c>
      <c r="BI158" s="17">
        <f t="shared" si="52"/>
        <v>0</v>
      </c>
      <c r="BJ158" s="21" t="str">
        <f t="shared" si="47"/>
        <v>nenhuma</v>
      </c>
      <c r="BK158" s="17">
        <f t="shared" si="53"/>
        <v>0</v>
      </c>
    </row>
    <row r="159" spans="1:63" x14ac:dyDescent="0.25">
      <c r="A159" s="8">
        <v>155</v>
      </c>
      <c r="B159" s="10"/>
      <c r="C159" s="10"/>
      <c r="D159" s="10"/>
      <c r="E159" s="10"/>
      <c r="F159" s="13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H159" s="14">
        <f t="shared" si="40"/>
        <v>0</v>
      </c>
      <c r="AJ159" s="15">
        <v>0</v>
      </c>
      <c r="AL159" s="19"/>
      <c r="AN159" s="17">
        <f t="shared" si="41"/>
        <v>0</v>
      </c>
      <c r="AP159" s="18"/>
      <c r="AQ159" s="10"/>
      <c r="AR159" s="17">
        <f t="shared" si="42"/>
        <v>0</v>
      </c>
      <c r="AT159" s="19"/>
      <c r="AV159" s="10"/>
      <c r="AW159" s="17">
        <f t="shared" si="43"/>
        <v>0</v>
      </c>
      <c r="AY159" s="13"/>
      <c r="AZ159" s="17">
        <f t="shared" si="44"/>
        <v>0</v>
      </c>
      <c r="BA159" s="20">
        <f t="shared" si="45"/>
        <v>0</v>
      </c>
      <c r="BC159" s="10">
        <f t="shared" si="49"/>
        <v>0</v>
      </c>
      <c r="BD159" s="17">
        <f t="shared" si="50"/>
        <v>0</v>
      </c>
      <c r="BE159" s="17">
        <f t="shared" si="51"/>
        <v>0</v>
      </c>
      <c r="BG159" s="18">
        <f t="shared" si="48"/>
        <v>0</v>
      </c>
      <c r="BH159" s="10">
        <f t="shared" si="46"/>
        <v>0</v>
      </c>
      <c r="BI159" s="17">
        <f t="shared" si="52"/>
        <v>0</v>
      </c>
      <c r="BJ159" s="21" t="str">
        <f t="shared" si="47"/>
        <v>nenhuma</v>
      </c>
      <c r="BK159" s="17">
        <f t="shared" si="53"/>
        <v>0</v>
      </c>
    </row>
    <row r="160" spans="1:63" x14ac:dyDescent="0.25">
      <c r="A160" s="8">
        <v>156</v>
      </c>
      <c r="B160" s="10"/>
      <c r="C160" s="10"/>
      <c r="D160" s="10"/>
      <c r="E160" s="10"/>
      <c r="F160" s="13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H160" s="14">
        <f t="shared" si="40"/>
        <v>0</v>
      </c>
      <c r="AJ160" s="15">
        <v>0</v>
      </c>
      <c r="AL160" s="19"/>
      <c r="AN160" s="17">
        <f t="shared" si="41"/>
        <v>0</v>
      </c>
      <c r="AP160" s="18"/>
      <c r="AQ160" s="10"/>
      <c r="AR160" s="17">
        <f t="shared" si="42"/>
        <v>0</v>
      </c>
      <c r="AT160" s="19"/>
      <c r="AV160" s="10"/>
      <c r="AW160" s="17">
        <f t="shared" si="43"/>
        <v>0</v>
      </c>
      <c r="AY160" s="13"/>
      <c r="AZ160" s="17">
        <f t="shared" si="44"/>
        <v>0</v>
      </c>
      <c r="BA160" s="20">
        <f t="shared" si="45"/>
        <v>0</v>
      </c>
      <c r="BC160" s="10">
        <f t="shared" si="49"/>
        <v>0</v>
      </c>
      <c r="BD160" s="17">
        <f t="shared" si="50"/>
        <v>0</v>
      </c>
      <c r="BE160" s="17">
        <f t="shared" si="51"/>
        <v>0</v>
      </c>
      <c r="BG160" s="18">
        <f t="shared" si="48"/>
        <v>0</v>
      </c>
      <c r="BH160" s="10">
        <f t="shared" si="46"/>
        <v>0</v>
      </c>
      <c r="BI160" s="17">
        <f t="shared" si="52"/>
        <v>0</v>
      </c>
      <c r="BJ160" s="21" t="str">
        <f t="shared" si="47"/>
        <v>nenhuma</v>
      </c>
      <c r="BK160" s="17">
        <f t="shared" si="53"/>
        <v>0</v>
      </c>
    </row>
    <row r="161" spans="1:63" x14ac:dyDescent="0.25">
      <c r="A161" s="8">
        <v>157</v>
      </c>
      <c r="B161" s="10"/>
      <c r="C161" s="10"/>
      <c r="D161" s="10"/>
      <c r="E161" s="10"/>
      <c r="F161" s="13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H161" s="14">
        <f t="shared" si="40"/>
        <v>0</v>
      </c>
      <c r="AJ161" s="15">
        <v>0</v>
      </c>
      <c r="AL161" s="19"/>
      <c r="AN161" s="17">
        <f t="shared" si="41"/>
        <v>0</v>
      </c>
      <c r="AP161" s="18"/>
      <c r="AQ161" s="10"/>
      <c r="AR161" s="17">
        <f t="shared" si="42"/>
        <v>0</v>
      </c>
      <c r="AT161" s="19"/>
      <c r="AV161" s="10"/>
      <c r="AW161" s="17">
        <f t="shared" si="43"/>
        <v>0</v>
      </c>
      <c r="AY161" s="13"/>
      <c r="AZ161" s="17">
        <f t="shared" si="44"/>
        <v>0</v>
      </c>
      <c r="BA161" s="20">
        <f t="shared" si="45"/>
        <v>0</v>
      </c>
      <c r="BC161" s="10">
        <f t="shared" si="49"/>
        <v>0</v>
      </c>
      <c r="BD161" s="17">
        <f t="shared" si="50"/>
        <v>0</v>
      </c>
      <c r="BE161" s="17">
        <f t="shared" si="51"/>
        <v>0</v>
      </c>
      <c r="BG161" s="18">
        <f t="shared" si="48"/>
        <v>0</v>
      </c>
      <c r="BH161" s="10">
        <f t="shared" si="46"/>
        <v>0</v>
      </c>
      <c r="BI161" s="17">
        <f t="shared" si="52"/>
        <v>0</v>
      </c>
      <c r="BJ161" s="21" t="str">
        <f t="shared" si="47"/>
        <v>nenhuma</v>
      </c>
      <c r="BK161" s="17">
        <f t="shared" si="53"/>
        <v>0</v>
      </c>
    </row>
    <row r="162" spans="1:63" x14ac:dyDescent="0.25">
      <c r="A162" s="8">
        <v>158</v>
      </c>
      <c r="B162" s="10"/>
      <c r="C162" s="10"/>
      <c r="D162" s="10"/>
      <c r="E162" s="10"/>
      <c r="F162" s="13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H162" s="14">
        <f t="shared" si="40"/>
        <v>0</v>
      </c>
      <c r="AJ162" s="15">
        <v>0</v>
      </c>
      <c r="AL162" s="19"/>
      <c r="AN162" s="17">
        <f t="shared" si="41"/>
        <v>0</v>
      </c>
      <c r="AP162" s="18"/>
      <c r="AQ162" s="10"/>
      <c r="AR162" s="17">
        <f t="shared" si="42"/>
        <v>0</v>
      </c>
      <c r="AT162" s="19"/>
      <c r="AV162" s="10"/>
      <c r="AW162" s="17">
        <f t="shared" si="43"/>
        <v>0</v>
      </c>
      <c r="AY162" s="13"/>
      <c r="AZ162" s="17">
        <f t="shared" si="44"/>
        <v>0</v>
      </c>
      <c r="BA162" s="20">
        <f t="shared" si="45"/>
        <v>0</v>
      </c>
      <c r="BC162" s="10">
        <f t="shared" si="49"/>
        <v>0</v>
      </c>
      <c r="BD162" s="17">
        <f t="shared" si="50"/>
        <v>0</v>
      </c>
      <c r="BE162" s="17">
        <f t="shared" si="51"/>
        <v>0</v>
      </c>
      <c r="BG162" s="18">
        <f t="shared" si="48"/>
        <v>0</v>
      </c>
      <c r="BH162" s="10">
        <f t="shared" si="46"/>
        <v>0</v>
      </c>
      <c r="BI162" s="17">
        <f t="shared" si="52"/>
        <v>0</v>
      </c>
      <c r="BJ162" s="21" t="str">
        <f t="shared" si="47"/>
        <v>nenhuma</v>
      </c>
      <c r="BK162" s="17">
        <f t="shared" si="53"/>
        <v>0</v>
      </c>
    </row>
    <row r="163" spans="1:63" x14ac:dyDescent="0.25">
      <c r="A163" s="8">
        <v>159</v>
      </c>
      <c r="B163" s="10"/>
      <c r="C163" s="10"/>
      <c r="D163" s="10"/>
      <c r="E163" s="10"/>
      <c r="F163" s="13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H163" s="14">
        <f t="shared" si="40"/>
        <v>0</v>
      </c>
      <c r="AJ163" s="15">
        <v>0</v>
      </c>
      <c r="AL163" s="19"/>
      <c r="AN163" s="17">
        <f t="shared" si="41"/>
        <v>0</v>
      </c>
      <c r="AP163" s="18"/>
      <c r="AQ163" s="10"/>
      <c r="AR163" s="17">
        <f t="shared" si="42"/>
        <v>0</v>
      </c>
      <c r="AT163" s="19"/>
      <c r="AV163" s="10"/>
      <c r="AW163" s="17">
        <f t="shared" si="43"/>
        <v>0</v>
      </c>
      <c r="AY163" s="13"/>
      <c r="AZ163" s="17">
        <f t="shared" si="44"/>
        <v>0</v>
      </c>
      <c r="BA163" s="20">
        <f t="shared" si="45"/>
        <v>0</v>
      </c>
      <c r="BC163" s="10">
        <f t="shared" si="49"/>
        <v>0</v>
      </c>
      <c r="BD163" s="17">
        <f t="shared" si="50"/>
        <v>0</v>
      </c>
      <c r="BE163" s="17">
        <f t="shared" si="51"/>
        <v>0</v>
      </c>
      <c r="BG163" s="18">
        <f t="shared" si="48"/>
        <v>0</v>
      </c>
      <c r="BH163" s="10">
        <f t="shared" si="46"/>
        <v>0</v>
      </c>
      <c r="BI163" s="17">
        <f t="shared" si="52"/>
        <v>0</v>
      </c>
      <c r="BJ163" s="21" t="str">
        <f t="shared" si="47"/>
        <v>nenhuma</v>
      </c>
      <c r="BK163" s="17">
        <f t="shared" si="53"/>
        <v>0</v>
      </c>
    </row>
    <row r="164" spans="1:63" x14ac:dyDescent="0.25">
      <c r="A164" s="8">
        <v>160</v>
      </c>
      <c r="B164" s="10"/>
      <c r="C164" s="10"/>
      <c r="D164" s="10"/>
      <c r="E164" s="10"/>
      <c r="F164" s="13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H164" s="14">
        <f t="shared" si="40"/>
        <v>0</v>
      </c>
      <c r="AJ164" s="15">
        <v>0</v>
      </c>
      <c r="AL164" s="19"/>
      <c r="AN164" s="17">
        <f t="shared" si="41"/>
        <v>0</v>
      </c>
      <c r="AP164" s="18"/>
      <c r="AQ164" s="10"/>
      <c r="AR164" s="17">
        <f t="shared" si="42"/>
        <v>0</v>
      </c>
      <c r="AT164" s="19"/>
      <c r="AV164" s="10"/>
      <c r="AW164" s="17">
        <f t="shared" si="43"/>
        <v>0</v>
      </c>
      <c r="AY164" s="13"/>
      <c r="AZ164" s="17">
        <f t="shared" si="44"/>
        <v>0</v>
      </c>
      <c r="BA164" s="20">
        <f t="shared" si="45"/>
        <v>0</v>
      </c>
      <c r="BC164" s="10">
        <f t="shared" si="49"/>
        <v>0</v>
      </c>
      <c r="BD164" s="17">
        <f t="shared" si="50"/>
        <v>0</v>
      </c>
      <c r="BE164" s="17">
        <f t="shared" si="51"/>
        <v>0</v>
      </c>
      <c r="BG164" s="18">
        <f t="shared" si="48"/>
        <v>0</v>
      </c>
      <c r="BH164" s="10">
        <f t="shared" si="46"/>
        <v>0</v>
      </c>
      <c r="BI164" s="17">
        <f t="shared" si="52"/>
        <v>0</v>
      </c>
      <c r="BJ164" s="21" t="str">
        <f t="shared" si="47"/>
        <v>nenhuma</v>
      </c>
      <c r="BK164" s="17">
        <f t="shared" si="53"/>
        <v>0</v>
      </c>
    </row>
    <row r="165" spans="1:63" x14ac:dyDescent="0.25">
      <c r="A165" s="8">
        <v>161</v>
      </c>
      <c r="B165" s="10"/>
      <c r="C165" s="10"/>
      <c r="D165" s="10"/>
      <c r="E165" s="10"/>
      <c r="F165" s="13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H165" s="14">
        <f t="shared" si="40"/>
        <v>0</v>
      </c>
      <c r="AJ165" s="15">
        <v>0</v>
      </c>
      <c r="AL165" s="19"/>
      <c r="AN165" s="17">
        <f t="shared" si="41"/>
        <v>0</v>
      </c>
      <c r="AP165" s="18"/>
      <c r="AQ165" s="10"/>
      <c r="AR165" s="17">
        <f t="shared" si="42"/>
        <v>0</v>
      </c>
      <c r="AT165" s="19"/>
      <c r="AV165" s="10"/>
      <c r="AW165" s="17">
        <f t="shared" si="43"/>
        <v>0</v>
      </c>
      <c r="AY165" s="13"/>
      <c r="AZ165" s="17">
        <f t="shared" si="44"/>
        <v>0</v>
      </c>
      <c r="BA165" s="20">
        <f t="shared" si="45"/>
        <v>0</v>
      </c>
      <c r="BC165" s="10">
        <f t="shared" si="49"/>
        <v>0</v>
      </c>
      <c r="BD165" s="17">
        <f t="shared" si="50"/>
        <v>0</v>
      </c>
      <c r="BE165" s="17">
        <f t="shared" si="51"/>
        <v>0</v>
      </c>
      <c r="BG165" s="18">
        <f t="shared" si="48"/>
        <v>0</v>
      </c>
      <c r="BH165" s="10">
        <f t="shared" si="46"/>
        <v>0</v>
      </c>
      <c r="BI165" s="17">
        <f t="shared" si="52"/>
        <v>0</v>
      </c>
      <c r="BJ165" s="21" t="str">
        <f t="shared" si="47"/>
        <v>nenhuma</v>
      </c>
      <c r="BK165" s="17">
        <f t="shared" si="53"/>
        <v>0</v>
      </c>
    </row>
    <row r="166" spans="1:63" x14ac:dyDescent="0.25">
      <c r="A166" s="8">
        <v>162</v>
      </c>
      <c r="B166" s="10"/>
      <c r="C166" s="10"/>
      <c r="D166" s="10"/>
      <c r="E166" s="10"/>
      <c r="F166" s="13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H166" s="14">
        <f t="shared" si="40"/>
        <v>0</v>
      </c>
      <c r="AJ166" s="15">
        <v>0</v>
      </c>
      <c r="AL166" s="19"/>
      <c r="AN166" s="17">
        <f t="shared" si="41"/>
        <v>0</v>
      </c>
      <c r="AP166" s="18"/>
      <c r="AQ166" s="10"/>
      <c r="AR166" s="17">
        <f t="shared" si="42"/>
        <v>0</v>
      </c>
      <c r="AT166" s="19"/>
      <c r="AV166" s="10"/>
      <c r="AW166" s="17">
        <f t="shared" si="43"/>
        <v>0</v>
      </c>
      <c r="AY166" s="13"/>
      <c r="AZ166" s="17">
        <f t="shared" si="44"/>
        <v>0</v>
      </c>
      <c r="BA166" s="20">
        <f t="shared" si="45"/>
        <v>0</v>
      </c>
      <c r="BC166" s="10">
        <f t="shared" si="49"/>
        <v>0</v>
      </c>
      <c r="BD166" s="17">
        <f t="shared" si="50"/>
        <v>0</v>
      </c>
      <c r="BE166" s="17">
        <f t="shared" si="51"/>
        <v>0</v>
      </c>
      <c r="BG166" s="18">
        <f t="shared" si="48"/>
        <v>0</v>
      </c>
      <c r="BH166" s="10">
        <f t="shared" si="46"/>
        <v>0</v>
      </c>
      <c r="BI166" s="17">
        <f t="shared" si="52"/>
        <v>0</v>
      </c>
      <c r="BJ166" s="21" t="str">
        <f t="shared" si="47"/>
        <v>nenhuma</v>
      </c>
      <c r="BK166" s="17">
        <f t="shared" si="53"/>
        <v>0</v>
      </c>
    </row>
    <row r="167" spans="1:63" x14ac:dyDescent="0.25">
      <c r="A167" s="8">
        <v>163</v>
      </c>
      <c r="B167" s="10"/>
      <c r="C167" s="10"/>
      <c r="D167" s="10"/>
      <c r="E167" s="10"/>
      <c r="F167" s="13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H167" s="14">
        <f t="shared" si="40"/>
        <v>0</v>
      </c>
      <c r="AJ167" s="15">
        <v>0</v>
      </c>
      <c r="AL167" s="19"/>
      <c r="AN167" s="17">
        <f t="shared" si="41"/>
        <v>0</v>
      </c>
      <c r="AP167" s="18"/>
      <c r="AQ167" s="10"/>
      <c r="AR167" s="17">
        <f t="shared" si="42"/>
        <v>0</v>
      </c>
      <c r="AT167" s="19"/>
      <c r="AV167" s="10"/>
      <c r="AW167" s="17">
        <f t="shared" si="43"/>
        <v>0</v>
      </c>
      <c r="AY167" s="13"/>
      <c r="AZ167" s="17">
        <f t="shared" si="44"/>
        <v>0</v>
      </c>
      <c r="BA167" s="20">
        <f t="shared" si="45"/>
        <v>0</v>
      </c>
      <c r="BC167" s="10">
        <f t="shared" si="49"/>
        <v>0</v>
      </c>
      <c r="BD167" s="17">
        <f t="shared" si="50"/>
        <v>0</v>
      </c>
      <c r="BE167" s="17">
        <f t="shared" si="51"/>
        <v>0</v>
      </c>
      <c r="BG167" s="18">
        <f t="shared" si="48"/>
        <v>0</v>
      </c>
      <c r="BH167" s="10">
        <f t="shared" si="46"/>
        <v>0</v>
      </c>
      <c r="BI167" s="17">
        <f t="shared" si="52"/>
        <v>0</v>
      </c>
      <c r="BJ167" s="21" t="str">
        <f t="shared" si="47"/>
        <v>nenhuma</v>
      </c>
      <c r="BK167" s="17">
        <f t="shared" si="53"/>
        <v>0</v>
      </c>
    </row>
    <row r="168" spans="1:63" x14ac:dyDescent="0.25">
      <c r="A168" s="8">
        <v>164</v>
      </c>
      <c r="B168" s="10"/>
      <c r="C168" s="10"/>
      <c r="D168" s="10"/>
      <c r="E168" s="10"/>
      <c r="F168" s="13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H168" s="14">
        <f t="shared" si="40"/>
        <v>0</v>
      </c>
      <c r="AJ168" s="15">
        <v>0</v>
      </c>
      <c r="AL168" s="19"/>
      <c r="AN168" s="17">
        <f t="shared" si="41"/>
        <v>0</v>
      </c>
      <c r="AP168" s="18"/>
      <c r="AQ168" s="10"/>
      <c r="AR168" s="17">
        <f t="shared" si="42"/>
        <v>0</v>
      </c>
      <c r="AT168" s="19"/>
      <c r="AV168" s="10"/>
      <c r="AW168" s="17">
        <f t="shared" si="43"/>
        <v>0</v>
      </c>
      <c r="AY168" s="13"/>
      <c r="AZ168" s="17">
        <f t="shared" si="44"/>
        <v>0</v>
      </c>
      <c r="BA168" s="20">
        <f t="shared" si="45"/>
        <v>0</v>
      </c>
      <c r="BC168" s="10">
        <f t="shared" si="49"/>
        <v>0</v>
      </c>
      <c r="BD168" s="17">
        <f t="shared" si="50"/>
        <v>0</v>
      </c>
      <c r="BE168" s="17">
        <f t="shared" si="51"/>
        <v>0</v>
      </c>
      <c r="BG168" s="18">
        <f t="shared" si="48"/>
        <v>0</v>
      </c>
      <c r="BH168" s="10">
        <f t="shared" si="46"/>
        <v>0</v>
      </c>
      <c r="BI168" s="17">
        <f t="shared" si="52"/>
        <v>0</v>
      </c>
      <c r="BJ168" s="21" t="str">
        <f t="shared" si="47"/>
        <v>nenhuma</v>
      </c>
      <c r="BK168" s="17">
        <f t="shared" si="53"/>
        <v>0</v>
      </c>
    </row>
    <row r="169" spans="1:63" x14ac:dyDescent="0.25">
      <c r="A169" s="8">
        <v>165</v>
      </c>
      <c r="B169" s="10"/>
      <c r="C169" s="10"/>
      <c r="D169" s="10"/>
      <c r="E169" s="10"/>
      <c r="F169" s="13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H169" s="14">
        <f t="shared" si="40"/>
        <v>0</v>
      </c>
      <c r="AJ169" s="15">
        <v>0</v>
      </c>
      <c r="AL169" s="19"/>
      <c r="AN169" s="17">
        <f t="shared" si="41"/>
        <v>0</v>
      </c>
      <c r="AP169" s="18"/>
      <c r="AQ169" s="10"/>
      <c r="AR169" s="17">
        <f t="shared" si="42"/>
        <v>0</v>
      </c>
      <c r="AT169" s="19"/>
      <c r="AV169" s="10"/>
      <c r="AW169" s="17">
        <f t="shared" si="43"/>
        <v>0</v>
      </c>
      <c r="AY169" s="13"/>
      <c r="AZ169" s="17">
        <f t="shared" si="44"/>
        <v>0</v>
      </c>
      <c r="BA169" s="20">
        <f t="shared" si="45"/>
        <v>0</v>
      </c>
      <c r="BC169" s="10">
        <f t="shared" si="49"/>
        <v>0</v>
      </c>
      <c r="BD169" s="17">
        <f t="shared" si="50"/>
        <v>0</v>
      </c>
      <c r="BE169" s="17">
        <f t="shared" si="51"/>
        <v>0</v>
      </c>
      <c r="BG169" s="18">
        <f t="shared" si="48"/>
        <v>0</v>
      </c>
      <c r="BH169" s="10">
        <f t="shared" si="46"/>
        <v>0</v>
      </c>
      <c r="BI169" s="17">
        <f t="shared" si="52"/>
        <v>0</v>
      </c>
      <c r="BJ169" s="21" t="str">
        <f t="shared" si="47"/>
        <v>nenhuma</v>
      </c>
      <c r="BK169" s="17">
        <f t="shared" si="53"/>
        <v>0</v>
      </c>
    </row>
    <row r="170" spans="1:63" x14ac:dyDescent="0.25">
      <c r="A170" s="8">
        <v>166</v>
      </c>
      <c r="B170" s="10"/>
      <c r="C170" s="10"/>
      <c r="D170" s="10"/>
      <c r="E170" s="10"/>
      <c r="F170" s="13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H170" s="14">
        <f t="shared" si="40"/>
        <v>0</v>
      </c>
      <c r="AJ170" s="15">
        <v>0</v>
      </c>
      <c r="AL170" s="19"/>
      <c r="AN170" s="17">
        <f t="shared" si="41"/>
        <v>0</v>
      </c>
      <c r="AP170" s="18"/>
      <c r="AQ170" s="10"/>
      <c r="AR170" s="17">
        <f t="shared" si="42"/>
        <v>0</v>
      </c>
      <c r="AT170" s="19"/>
      <c r="AV170" s="10"/>
      <c r="AW170" s="17">
        <f t="shared" si="43"/>
        <v>0</v>
      </c>
      <c r="AY170" s="13"/>
      <c r="AZ170" s="17">
        <f t="shared" si="44"/>
        <v>0</v>
      </c>
      <c r="BA170" s="20">
        <f t="shared" si="45"/>
        <v>0</v>
      </c>
      <c r="BC170" s="10">
        <f t="shared" si="49"/>
        <v>0</v>
      </c>
      <c r="BD170" s="17">
        <f t="shared" si="50"/>
        <v>0</v>
      </c>
      <c r="BE170" s="17">
        <f t="shared" si="51"/>
        <v>0</v>
      </c>
      <c r="BG170" s="18">
        <f t="shared" si="48"/>
        <v>0</v>
      </c>
      <c r="BH170" s="10">
        <f t="shared" si="46"/>
        <v>0</v>
      </c>
      <c r="BI170" s="17">
        <f t="shared" si="52"/>
        <v>0</v>
      </c>
      <c r="BJ170" s="21" t="str">
        <f t="shared" si="47"/>
        <v>nenhuma</v>
      </c>
      <c r="BK170" s="17">
        <f t="shared" si="53"/>
        <v>0</v>
      </c>
    </row>
    <row r="171" spans="1:63" x14ac:dyDescent="0.25">
      <c r="A171" s="8">
        <v>167</v>
      </c>
      <c r="B171" s="10"/>
      <c r="C171" s="10"/>
      <c r="D171" s="10"/>
      <c r="E171" s="10"/>
      <c r="F171" s="13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H171" s="14">
        <f t="shared" si="40"/>
        <v>0</v>
      </c>
      <c r="AJ171" s="15">
        <v>0</v>
      </c>
      <c r="AL171" s="19"/>
      <c r="AN171" s="17">
        <f t="shared" si="41"/>
        <v>0</v>
      </c>
      <c r="AP171" s="18"/>
      <c r="AQ171" s="10"/>
      <c r="AR171" s="17">
        <f t="shared" si="42"/>
        <v>0</v>
      </c>
      <c r="AT171" s="19"/>
      <c r="AV171" s="10"/>
      <c r="AW171" s="17">
        <f t="shared" si="43"/>
        <v>0</v>
      </c>
      <c r="AY171" s="13"/>
      <c r="AZ171" s="17">
        <f t="shared" si="44"/>
        <v>0</v>
      </c>
      <c r="BA171" s="20">
        <f t="shared" si="45"/>
        <v>0</v>
      </c>
      <c r="BC171" s="10">
        <f t="shared" si="49"/>
        <v>0</v>
      </c>
      <c r="BD171" s="17">
        <f t="shared" si="50"/>
        <v>0</v>
      </c>
      <c r="BE171" s="17">
        <f t="shared" si="51"/>
        <v>0</v>
      </c>
      <c r="BG171" s="18">
        <f t="shared" si="48"/>
        <v>0</v>
      </c>
      <c r="BH171" s="10">
        <f t="shared" si="46"/>
        <v>0</v>
      </c>
      <c r="BI171" s="17">
        <f t="shared" si="52"/>
        <v>0</v>
      </c>
      <c r="BJ171" s="21" t="str">
        <f t="shared" si="47"/>
        <v>nenhuma</v>
      </c>
      <c r="BK171" s="17">
        <f t="shared" si="53"/>
        <v>0</v>
      </c>
    </row>
    <row r="172" spans="1:63" x14ac:dyDescent="0.25">
      <c r="A172" s="8">
        <v>168</v>
      </c>
      <c r="B172" s="10"/>
      <c r="C172" s="10"/>
      <c r="D172" s="10"/>
      <c r="E172" s="10"/>
      <c r="F172" s="13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H172" s="14">
        <f t="shared" si="40"/>
        <v>0</v>
      </c>
      <c r="AJ172" s="15">
        <v>0</v>
      </c>
      <c r="AL172" s="19"/>
      <c r="AN172" s="17">
        <f t="shared" si="41"/>
        <v>0</v>
      </c>
      <c r="AP172" s="18"/>
      <c r="AQ172" s="10"/>
      <c r="AR172" s="17">
        <f t="shared" si="42"/>
        <v>0</v>
      </c>
      <c r="AT172" s="19"/>
      <c r="AV172" s="10"/>
      <c r="AW172" s="17">
        <f t="shared" si="43"/>
        <v>0</v>
      </c>
      <c r="AY172" s="13"/>
      <c r="AZ172" s="17">
        <f t="shared" si="44"/>
        <v>0</v>
      </c>
      <c r="BA172" s="20">
        <f t="shared" si="45"/>
        <v>0</v>
      </c>
      <c r="BC172" s="10">
        <f t="shared" si="49"/>
        <v>0</v>
      </c>
      <c r="BD172" s="17">
        <f t="shared" si="50"/>
        <v>0</v>
      </c>
      <c r="BE172" s="17">
        <f t="shared" si="51"/>
        <v>0</v>
      </c>
      <c r="BG172" s="18">
        <f t="shared" si="48"/>
        <v>0</v>
      </c>
      <c r="BH172" s="10">
        <f t="shared" si="46"/>
        <v>0</v>
      </c>
      <c r="BI172" s="17">
        <f t="shared" si="52"/>
        <v>0</v>
      </c>
      <c r="BJ172" s="21" t="str">
        <f t="shared" si="47"/>
        <v>nenhuma</v>
      </c>
      <c r="BK172" s="17">
        <f t="shared" si="53"/>
        <v>0</v>
      </c>
    </row>
    <row r="173" spans="1:63" x14ac:dyDescent="0.25">
      <c r="A173" s="8">
        <v>169</v>
      </c>
      <c r="B173" s="10"/>
      <c r="C173" s="10"/>
      <c r="D173" s="10"/>
      <c r="E173" s="10"/>
      <c r="F173" s="13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H173" s="14">
        <f t="shared" si="40"/>
        <v>0</v>
      </c>
      <c r="AJ173" s="15">
        <v>0</v>
      </c>
      <c r="AL173" s="19"/>
      <c r="AN173" s="17">
        <f t="shared" si="41"/>
        <v>0</v>
      </c>
      <c r="AP173" s="18"/>
      <c r="AQ173" s="10"/>
      <c r="AR173" s="17">
        <f t="shared" si="42"/>
        <v>0</v>
      </c>
      <c r="AT173" s="19"/>
      <c r="AV173" s="10"/>
      <c r="AW173" s="17">
        <f t="shared" si="43"/>
        <v>0</v>
      </c>
      <c r="AY173" s="13"/>
      <c r="AZ173" s="17">
        <f t="shared" si="44"/>
        <v>0</v>
      </c>
      <c r="BA173" s="20">
        <f t="shared" si="45"/>
        <v>0</v>
      </c>
      <c r="BC173" s="10">
        <f t="shared" si="49"/>
        <v>0</v>
      </c>
      <c r="BD173" s="17">
        <f t="shared" si="50"/>
        <v>0</v>
      </c>
      <c r="BE173" s="17">
        <f t="shared" si="51"/>
        <v>0</v>
      </c>
      <c r="BG173" s="18">
        <f t="shared" si="48"/>
        <v>0</v>
      </c>
      <c r="BH173" s="10">
        <f t="shared" si="46"/>
        <v>0</v>
      </c>
      <c r="BI173" s="17">
        <f t="shared" si="52"/>
        <v>0</v>
      </c>
      <c r="BJ173" s="21" t="str">
        <f t="shared" si="47"/>
        <v>nenhuma</v>
      </c>
      <c r="BK173" s="17">
        <f t="shared" si="53"/>
        <v>0</v>
      </c>
    </row>
    <row r="174" spans="1:63" x14ac:dyDescent="0.25">
      <c r="A174" s="8">
        <v>170</v>
      </c>
      <c r="B174" s="10"/>
      <c r="C174" s="10"/>
      <c r="D174" s="10"/>
      <c r="E174" s="10"/>
      <c r="F174" s="13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H174" s="14">
        <f t="shared" si="40"/>
        <v>0</v>
      </c>
      <c r="AJ174" s="15">
        <v>0</v>
      </c>
      <c r="AL174" s="19"/>
      <c r="AN174" s="17">
        <f t="shared" si="41"/>
        <v>0</v>
      </c>
      <c r="AP174" s="18"/>
      <c r="AQ174" s="10"/>
      <c r="AR174" s="17">
        <f t="shared" si="42"/>
        <v>0</v>
      </c>
      <c r="AT174" s="19"/>
      <c r="AV174" s="10"/>
      <c r="AW174" s="17">
        <f t="shared" si="43"/>
        <v>0</v>
      </c>
      <c r="AY174" s="13"/>
      <c r="AZ174" s="17">
        <f t="shared" si="44"/>
        <v>0</v>
      </c>
      <c r="BA174" s="20">
        <f t="shared" si="45"/>
        <v>0</v>
      </c>
      <c r="BC174" s="10">
        <f t="shared" si="49"/>
        <v>0</v>
      </c>
      <c r="BD174" s="17">
        <f t="shared" si="50"/>
        <v>0</v>
      </c>
      <c r="BE174" s="17">
        <f t="shared" si="51"/>
        <v>0</v>
      </c>
      <c r="BG174" s="18">
        <f t="shared" si="48"/>
        <v>0</v>
      </c>
      <c r="BH174" s="10">
        <f t="shared" si="46"/>
        <v>0</v>
      </c>
      <c r="BI174" s="17">
        <f t="shared" si="52"/>
        <v>0</v>
      </c>
      <c r="BJ174" s="21" t="str">
        <f t="shared" si="47"/>
        <v>nenhuma</v>
      </c>
      <c r="BK174" s="17">
        <f t="shared" si="53"/>
        <v>0</v>
      </c>
    </row>
    <row r="175" spans="1:63" x14ac:dyDescent="0.25">
      <c r="A175" s="8">
        <v>171</v>
      </c>
      <c r="B175" s="10"/>
      <c r="C175" s="10"/>
      <c r="D175" s="10"/>
      <c r="E175" s="10"/>
      <c r="F175" s="13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H175" s="14">
        <f t="shared" si="40"/>
        <v>0</v>
      </c>
      <c r="AJ175" s="15">
        <v>0</v>
      </c>
      <c r="AL175" s="19"/>
      <c r="AN175" s="17">
        <f t="shared" si="41"/>
        <v>0</v>
      </c>
      <c r="AP175" s="18"/>
      <c r="AQ175" s="10"/>
      <c r="AR175" s="17">
        <f t="shared" si="42"/>
        <v>0</v>
      </c>
      <c r="AT175" s="19"/>
      <c r="AV175" s="10"/>
      <c r="AW175" s="17">
        <f t="shared" si="43"/>
        <v>0</v>
      </c>
      <c r="AY175" s="13"/>
      <c r="AZ175" s="17">
        <f t="shared" si="44"/>
        <v>0</v>
      </c>
      <c r="BA175" s="20">
        <f t="shared" si="45"/>
        <v>0</v>
      </c>
      <c r="BC175" s="10">
        <f t="shared" si="49"/>
        <v>0</v>
      </c>
      <c r="BD175" s="17">
        <f t="shared" si="50"/>
        <v>0</v>
      </c>
      <c r="BE175" s="17">
        <f t="shared" si="51"/>
        <v>0</v>
      </c>
      <c r="BG175" s="18">
        <f t="shared" si="48"/>
        <v>0</v>
      </c>
      <c r="BH175" s="10">
        <f t="shared" si="46"/>
        <v>0</v>
      </c>
      <c r="BI175" s="17">
        <f t="shared" si="52"/>
        <v>0</v>
      </c>
      <c r="BJ175" s="21" t="str">
        <f t="shared" si="47"/>
        <v>nenhuma</v>
      </c>
      <c r="BK175" s="17">
        <f t="shared" si="53"/>
        <v>0</v>
      </c>
    </row>
    <row r="176" spans="1:63" x14ac:dyDescent="0.25">
      <c r="A176" s="8">
        <v>172</v>
      </c>
      <c r="B176" s="10"/>
      <c r="C176" s="10"/>
      <c r="D176" s="10"/>
      <c r="E176" s="10"/>
      <c r="F176" s="13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H176" s="14">
        <f t="shared" si="40"/>
        <v>0</v>
      </c>
      <c r="AJ176" s="15">
        <v>0</v>
      </c>
      <c r="AL176" s="19"/>
      <c r="AN176" s="17">
        <f t="shared" si="41"/>
        <v>0</v>
      </c>
      <c r="AP176" s="18"/>
      <c r="AQ176" s="10"/>
      <c r="AR176" s="17">
        <f t="shared" si="42"/>
        <v>0</v>
      </c>
      <c r="AT176" s="19"/>
      <c r="AV176" s="10"/>
      <c r="AW176" s="17">
        <f t="shared" si="43"/>
        <v>0</v>
      </c>
      <c r="AY176" s="13"/>
      <c r="AZ176" s="17">
        <f t="shared" si="44"/>
        <v>0</v>
      </c>
      <c r="BA176" s="20">
        <f t="shared" si="45"/>
        <v>0</v>
      </c>
      <c r="BC176" s="10">
        <f t="shared" si="49"/>
        <v>0</v>
      </c>
      <c r="BD176" s="17">
        <f t="shared" si="50"/>
        <v>0</v>
      </c>
      <c r="BE176" s="17">
        <f t="shared" si="51"/>
        <v>0</v>
      </c>
      <c r="BG176" s="18">
        <f t="shared" si="48"/>
        <v>0</v>
      </c>
      <c r="BH176" s="10">
        <f t="shared" si="46"/>
        <v>0</v>
      </c>
      <c r="BI176" s="17">
        <f t="shared" si="52"/>
        <v>0</v>
      </c>
      <c r="BJ176" s="21" t="str">
        <f t="shared" si="47"/>
        <v>nenhuma</v>
      </c>
      <c r="BK176" s="17">
        <f t="shared" si="53"/>
        <v>0</v>
      </c>
    </row>
    <row r="177" spans="1:63" x14ac:dyDescent="0.25">
      <c r="A177" s="8">
        <v>173</v>
      </c>
      <c r="B177" s="10"/>
      <c r="C177" s="10"/>
      <c r="D177" s="10"/>
      <c r="E177" s="10"/>
      <c r="F177" s="13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H177" s="14">
        <f t="shared" si="40"/>
        <v>0</v>
      </c>
      <c r="AJ177" s="15">
        <v>0</v>
      </c>
      <c r="AL177" s="19"/>
      <c r="AN177" s="17">
        <f t="shared" si="41"/>
        <v>0</v>
      </c>
      <c r="AP177" s="18"/>
      <c r="AQ177" s="10"/>
      <c r="AR177" s="17">
        <f t="shared" si="42"/>
        <v>0</v>
      </c>
      <c r="AT177" s="19"/>
      <c r="AV177" s="10"/>
      <c r="AW177" s="17">
        <f t="shared" si="43"/>
        <v>0</v>
      </c>
      <c r="AY177" s="13"/>
      <c r="AZ177" s="17">
        <f t="shared" si="44"/>
        <v>0</v>
      </c>
      <c r="BA177" s="20">
        <f t="shared" si="45"/>
        <v>0</v>
      </c>
      <c r="BC177" s="10">
        <f t="shared" si="49"/>
        <v>0</v>
      </c>
      <c r="BD177" s="17">
        <f t="shared" si="50"/>
        <v>0</v>
      </c>
      <c r="BE177" s="17">
        <f t="shared" si="51"/>
        <v>0</v>
      </c>
      <c r="BG177" s="18">
        <f t="shared" si="48"/>
        <v>0</v>
      </c>
      <c r="BH177" s="10">
        <f t="shared" si="46"/>
        <v>0</v>
      </c>
      <c r="BI177" s="17">
        <f t="shared" si="52"/>
        <v>0</v>
      </c>
      <c r="BJ177" s="21" t="str">
        <f t="shared" si="47"/>
        <v>nenhuma</v>
      </c>
      <c r="BK177" s="17">
        <f t="shared" si="53"/>
        <v>0</v>
      </c>
    </row>
    <row r="178" spans="1:63" x14ac:dyDescent="0.25">
      <c r="A178" s="8">
        <v>174</v>
      </c>
      <c r="B178" s="10"/>
      <c r="C178" s="10"/>
      <c r="D178" s="10"/>
      <c r="E178" s="10"/>
      <c r="F178" s="13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H178" s="14">
        <f t="shared" si="40"/>
        <v>0</v>
      </c>
      <c r="AJ178" s="15">
        <v>0</v>
      </c>
      <c r="AL178" s="19"/>
      <c r="AN178" s="17">
        <f t="shared" si="41"/>
        <v>0</v>
      </c>
      <c r="AP178" s="18"/>
      <c r="AQ178" s="10"/>
      <c r="AR178" s="17">
        <f t="shared" si="42"/>
        <v>0</v>
      </c>
      <c r="AT178" s="19"/>
      <c r="AV178" s="10"/>
      <c r="AW178" s="17">
        <f t="shared" si="43"/>
        <v>0</v>
      </c>
      <c r="AY178" s="13"/>
      <c r="AZ178" s="17">
        <f t="shared" si="44"/>
        <v>0</v>
      </c>
      <c r="BA178" s="20">
        <f t="shared" si="45"/>
        <v>0</v>
      </c>
      <c r="BC178" s="10">
        <f t="shared" si="49"/>
        <v>0</v>
      </c>
      <c r="BD178" s="17">
        <f t="shared" si="50"/>
        <v>0</v>
      </c>
      <c r="BE178" s="17">
        <f t="shared" si="51"/>
        <v>0</v>
      </c>
      <c r="BG178" s="18">
        <f t="shared" si="48"/>
        <v>0</v>
      </c>
      <c r="BH178" s="10">
        <f t="shared" si="46"/>
        <v>0</v>
      </c>
      <c r="BI178" s="17">
        <f t="shared" si="52"/>
        <v>0</v>
      </c>
      <c r="BJ178" s="21" t="str">
        <f t="shared" si="47"/>
        <v>nenhuma</v>
      </c>
      <c r="BK178" s="17">
        <f t="shared" si="53"/>
        <v>0</v>
      </c>
    </row>
    <row r="179" spans="1:63" x14ac:dyDescent="0.25">
      <c r="A179" s="8">
        <v>175</v>
      </c>
      <c r="B179" s="10"/>
      <c r="C179" s="10"/>
      <c r="D179" s="10"/>
      <c r="E179" s="10"/>
      <c r="F179" s="13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H179" s="14">
        <f t="shared" si="40"/>
        <v>0</v>
      </c>
      <c r="AJ179" s="15">
        <v>0</v>
      </c>
      <c r="AL179" s="19"/>
      <c r="AN179" s="17">
        <f t="shared" si="41"/>
        <v>0</v>
      </c>
      <c r="AP179" s="18"/>
      <c r="AQ179" s="10"/>
      <c r="AR179" s="17">
        <f t="shared" si="42"/>
        <v>0</v>
      </c>
      <c r="AT179" s="19"/>
      <c r="AV179" s="10"/>
      <c r="AW179" s="17">
        <f t="shared" si="43"/>
        <v>0</v>
      </c>
      <c r="AY179" s="13"/>
      <c r="AZ179" s="17">
        <f t="shared" si="44"/>
        <v>0</v>
      </c>
      <c r="BA179" s="20">
        <f t="shared" si="45"/>
        <v>0</v>
      </c>
      <c r="BC179" s="10">
        <f t="shared" si="49"/>
        <v>0</v>
      </c>
      <c r="BD179" s="17">
        <f t="shared" si="50"/>
        <v>0</v>
      </c>
      <c r="BE179" s="17">
        <f t="shared" si="51"/>
        <v>0</v>
      </c>
      <c r="BG179" s="18">
        <f t="shared" si="48"/>
        <v>0</v>
      </c>
      <c r="BH179" s="10">
        <f t="shared" si="46"/>
        <v>0</v>
      </c>
      <c r="BI179" s="17">
        <f t="shared" si="52"/>
        <v>0</v>
      </c>
      <c r="BJ179" s="21" t="str">
        <f t="shared" si="47"/>
        <v>nenhuma</v>
      </c>
      <c r="BK179" s="17">
        <f t="shared" si="53"/>
        <v>0</v>
      </c>
    </row>
    <row r="180" spans="1:63" x14ac:dyDescent="0.25">
      <c r="A180" s="8">
        <v>176</v>
      </c>
      <c r="B180" s="10"/>
      <c r="C180" s="10"/>
      <c r="D180" s="10"/>
      <c r="E180" s="10"/>
      <c r="F180" s="13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H180" s="14">
        <f t="shared" si="40"/>
        <v>0</v>
      </c>
      <c r="AJ180" s="15">
        <v>0</v>
      </c>
      <c r="AL180" s="19"/>
      <c r="AN180" s="17">
        <f t="shared" si="41"/>
        <v>0</v>
      </c>
      <c r="AP180" s="18"/>
      <c r="AQ180" s="10"/>
      <c r="AR180" s="17">
        <f t="shared" si="42"/>
        <v>0</v>
      </c>
      <c r="AT180" s="19"/>
      <c r="AV180" s="10"/>
      <c r="AW180" s="17">
        <f t="shared" si="43"/>
        <v>0</v>
      </c>
      <c r="AY180" s="13"/>
      <c r="AZ180" s="17">
        <f t="shared" si="44"/>
        <v>0</v>
      </c>
      <c r="BA180" s="20">
        <f t="shared" si="45"/>
        <v>0</v>
      </c>
      <c r="BC180" s="10">
        <f t="shared" si="49"/>
        <v>0</v>
      </c>
      <c r="BD180" s="17">
        <f t="shared" si="50"/>
        <v>0</v>
      </c>
      <c r="BE180" s="17">
        <f t="shared" si="51"/>
        <v>0</v>
      </c>
      <c r="BG180" s="18">
        <f t="shared" si="48"/>
        <v>0</v>
      </c>
      <c r="BH180" s="10">
        <f t="shared" si="46"/>
        <v>0</v>
      </c>
      <c r="BI180" s="17">
        <f t="shared" si="52"/>
        <v>0</v>
      </c>
      <c r="BJ180" s="21" t="str">
        <f t="shared" si="47"/>
        <v>nenhuma</v>
      </c>
      <c r="BK180" s="17">
        <f t="shared" si="53"/>
        <v>0</v>
      </c>
    </row>
    <row r="181" spans="1:63" x14ac:dyDescent="0.25">
      <c r="A181" s="8">
        <v>177</v>
      </c>
      <c r="B181" s="10"/>
      <c r="C181" s="10"/>
      <c r="D181" s="10"/>
      <c r="E181" s="10"/>
      <c r="F181" s="13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H181" s="14">
        <f t="shared" si="40"/>
        <v>0</v>
      </c>
      <c r="AJ181" s="15">
        <v>0</v>
      </c>
      <c r="AL181" s="19"/>
      <c r="AN181" s="17">
        <f t="shared" si="41"/>
        <v>0</v>
      </c>
      <c r="AP181" s="18"/>
      <c r="AQ181" s="10"/>
      <c r="AR181" s="17">
        <f t="shared" si="42"/>
        <v>0</v>
      </c>
      <c r="AT181" s="19"/>
      <c r="AV181" s="10"/>
      <c r="AW181" s="17">
        <f t="shared" si="43"/>
        <v>0</v>
      </c>
      <c r="AY181" s="13"/>
      <c r="AZ181" s="17">
        <f t="shared" si="44"/>
        <v>0</v>
      </c>
      <c r="BA181" s="20">
        <f t="shared" si="45"/>
        <v>0</v>
      </c>
      <c r="BC181" s="10">
        <f t="shared" si="49"/>
        <v>0</v>
      </c>
      <c r="BD181" s="17">
        <f t="shared" si="50"/>
        <v>0</v>
      </c>
      <c r="BE181" s="17">
        <f t="shared" si="51"/>
        <v>0</v>
      </c>
      <c r="BG181" s="18">
        <f t="shared" si="48"/>
        <v>0</v>
      </c>
      <c r="BH181" s="10">
        <f t="shared" si="46"/>
        <v>0</v>
      </c>
      <c r="BI181" s="17">
        <f t="shared" si="52"/>
        <v>0</v>
      </c>
      <c r="BJ181" s="21" t="str">
        <f t="shared" si="47"/>
        <v>nenhuma</v>
      </c>
      <c r="BK181" s="17">
        <f t="shared" si="53"/>
        <v>0</v>
      </c>
    </row>
    <row r="182" spans="1:63" x14ac:dyDescent="0.25">
      <c r="A182" s="8">
        <v>178</v>
      </c>
      <c r="B182" s="10"/>
      <c r="C182" s="10"/>
      <c r="D182" s="10"/>
      <c r="E182" s="10"/>
      <c r="F182" s="13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H182" s="14">
        <f t="shared" si="40"/>
        <v>0</v>
      </c>
      <c r="AJ182" s="15">
        <v>0</v>
      </c>
      <c r="AL182" s="19"/>
      <c r="AN182" s="17">
        <f t="shared" si="41"/>
        <v>0</v>
      </c>
      <c r="AP182" s="18"/>
      <c r="AQ182" s="10"/>
      <c r="AR182" s="17">
        <f t="shared" si="42"/>
        <v>0</v>
      </c>
      <c r="AT182" s="19"/>
      <c r="AV182" s="10"/>
      <c r="AW182" s="17">
        <f t="shared" si="43"/>
        <v>0</v>
      </c>
      <c r="AY182" s="13"/>
      <c r="AZ182" s="17">
        <f t="shared" si="44"/>
        <v>0</v>
      </c>
      <c r="BA182" s="20">
        <f t="shared" si="45"/>
        <v>0</v>
      </c>
      <c r="BC182" s="10">
        <f t="shared" si="49"/>
        <v>0</v>
      </c>
      <c r="BD182" s="17">
        <f t="shared" si="50"/>
        <v>0</v>
      </c>
      <c r="BE182" s="17">
        <f t="shared" si="51"/>
        <v>0</v>
      </c>
      <c r="BG182" s="18">
        <f t="shared" si="48"/>
        <v>0</v>
      </c>
      <c r="BH182" s="10">
        <f t="shared" si="46"/>
        <v>0</v>
      </c>
      <c r="BI182" s="17">
        <f t="shared" si="52"/>
        <v>0</v>
      </c>
      <c r="BJ182" s="21" t="str">
        <f t="shared" si="47"/>
        <v>nenhuma</v>
      </c>
      <c r="BK182" s="17">
        <f t="shared" si="53"/>
        <v>0</v>
      </c>
    </row>
    <row r="183" spans="1:63" x14ac:dyDescent="0.25">
      <c r="A183" s="8">
        <v>179</v>
      </c>
      <c r="B183" s="10"/>
      <c r="C183" s="10"/>
      <c r="D183" s="10"/>
      <c r="E183" s="10"/>
      <c r="F183" s="13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H183" s="14">
        <f t="shared" si="40"/>
        <v>0</v>
      </c>
      <c r="AJ183" s="15">
        <v>0</v>
      </c>
      <c r="AL183" s="19"/>
      <c r="AN183" s="17">
        <f t="shared" si="41"/>
        <v>0</v>
      </c>
      <c r="AP183" s="18"/>
      <c r="AQ183" s="10"/>
      <c r="AR183" s="17">
        <f t="shared" si="42"/>
        <v>0</v>
      </c>
      <c r="AT183" s="19"/>
      <c r="AV183" s="10"/>
      <c r="AW183" s="17">
        <f t="shared" si="43"/>
        <v>0</v>
      </c>
      <c r="AY183" s="13"/>
      <c r="AZ183" s="17">
        <f t="shared" si="44"/>
        <v>0</v>
      </c>
      <c r="BA183" s="20">
        <f t="shared" si="45"/>
        <v>0</v>
      </c>
      <c r="BC183" s="10">
        <f t="shared" si="49"/>
        <v>0</v>
      </c>
      <c r="BD183" s="17">
        <f t="shared" si="50"/>
        <v>0</v>
      </c>
      <c r="BE183" s="17">
        <f t="shared" si="51"/>
        <v>0</v>
      </c>
      <c r="BG183" s="18">
        <f t="shared" si="48"/>
        <v>0</v>
      </c>
      <c r="BH183" s="10">
        <f t="shared" si="46"/>
        <v>0</v>
      </c>
      <c r="BI183" s="17">
        <f t="shared" si="52"/>
        <v>0</v>
      </c>
      <c r="BJ183" s="21" t="str">
        <f t="shared" si="47"/>
        <v>nenhuma</v>
      </c>
      <c r="BK183" s="17">
        <f t="shared" si="53"/>
        <v>0</v>
      </c>
    </row>
    <row r="184" spans="1:63" x14ac:dyDescent="0.25">
      <c r="A184" s="8">
        <v>180</v>
      </c>
      <c r="B184" s="10"/>
      <c r="C184" s="10"/>
      <c r="D184" s="10"/>
      <c r="E184" s="10"/>
      <c r="F184" s="13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H184" s="14">
        <f t="shared" si="40"/>
        <v>0</v>
      </c>
      <c r="AJ184" s="15">
        <v>0</v>
      </c>
      <c r="AL184" s="19"/>
      <c r="AN184" s="17">
        <f t="shared" si="41"/>
        <v>0</v>
      </c>
      <c r="AP184" s="18"/>
      <c r="AQ184" s="10"/>
      <c r="AR184" s="17">
        <f t="shared" si="42"/>
        <v>0</v>
      </c>
      <c r="AT184" s="19"/>
      <c r="AV184" s="10"/>
      <c r="AW184" s="17">
        <f t="shared" si="43"/>
        <v>0</v>
      </c>
      <c r="AY184" s="13"/>
      <c r="AZ184" s="17">
        <f t="shared" si="44"/>
        <v>0</v>
      </c>
      <c r="BA184" s="20">
        <f t="shared" si="45"/>
        <v>0</v>
      </c>
      <c r="BC184" s="10">
        <f t="shared" si="49"/>
        <v>0</v>
      </c>
      <c r="BD184" s="17">
        <f t="shared" si="50"/>
        <v>0</v>
      </c>
      <c r="BE184" s="17">
        <f t="shared" si="51"/>
        <v>0</v>
      </c>
      <c r="BG184" s="18">
        <f t="shared" si="48"/>
        <v>0</v>
      </c>
      <c r="BH184" s="10">
        <f t="shared" si="46"/>
        <v>0</v>
      </c>
      <c r="BI184" s="17">
        <f t="shared" si="52"/>
        <v>0</v>
      </c>
      <c r="BJ184" s="21" t="str">
        <f t="shared" si="47"/>
        <v>nenhuma</v>
      </c>
      <c r="BK184" s="17">
        <f t="shared" si="53"/>
        <v>0</v>
      </c>
    </row>
    <row r="185" spans="1:63" x14ac:dyDescent="0.25">
      <c r="A185" s="8">
        <v>181</v>
      </c>
      <c r="B185" s="10"/>
      <c r="C185" s="10"/>
      <c r="D185" s="10"/>
      <c r="E185" s="10"/>
      <c r="F185" s="13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H185" s="14">
        <f t="shared" si="40"/>
        <v>0</v>
      </c>
      <c r="AJ185" s="15">
        <v>0</v>
      </c>
      <c r="AL185" s="19"/>
      <c r="AN185" s="17">
        <f t="shared" si="41"/>
        <v>0</v>
      </c>
      <c r="AP185" s="18"/>
      <c r="AQ185" s="10"/>
      <c r="AR185" s="17">
        <f t="shared" si="42"/>
        <v>0</v>
      </c>
      <c r="AT185" s="19"/>
      <c r="AV185" s="10"/>
      <c r="AW185" s="17">
        <f t="shared" si="43"/>
        <v>0</v>
      </c>
      <c r="AY185" s="13"/>
      <c r="AZ185" s="17">
        <f t="shared" si="44"/>
        <v>0</v>
      </c>
      <c r="BA185" s="20">
        <f t="shared" si="45"/>
        <v>0</v>
      </c>
      <c r="BC185" s="10">
        <f t="shared" si="49"/>
        <v>0</v>
      </c>
      <c r="BD185" s="17">
        <f t="shared" si="50"/>
        <v>0</v>
      </c>
      <c r="BE185" s="17">
        <f t="shared" si="51"/>
        <v>0</v>
      </c>
      <c r="BG185" s="18">
        <f t="shared" si="48"/>
        <v>0</v>
      </c>
      <c r="BH185" s="10">
        <f t="shared" si="46"/>
        <v>0</v>
      </c>
      <c r="BI185" s="17">
        <f t="shared" si="52"/>
        <v>0</v>
      </c>
      <c r="BJ185" s="21" t="str">
        <f t="shared" si="47"/>
        <v>nenhuma</v>
      </c>
      <c r="BK185" s="17">
        <f t="shared" si="53"/>
        <v>0</v>
      </c>
    </row>
    <row r="186" spans="1:63" x14ac:dyDescent="0.25">
      <c r="A186" s="8">
        <v>182</v>
      </c>
      <c r="B186" s="18"/>
      <c r="C186" s="10"/>
      <c r="D186" s="10"/>
      <c r="E186" s="10"/>
      <c r="F186" s="13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H186" s="14">
        <f t="shared" si="40"/>
        <v>0</v>
      </c>
      <c r="AJ186" s="15">
        <v>0</v>
      </c>
      <c r="AL186" s="19"/>
      <c r="AN186" s="17">
        <f t="shared" si="41"/>
        <v>0</v>
      </c>
      <c r="AP186" s="18"/>
      <c r="AQ186" s="10"/>
      <c r="AR186" s="17">
        <f t="shared" si="42"/>
        <v>0</v>
      </c>
      <c r="AT186" s="19"/>
      <c r="AV186" s="10"/>
      <c r="AW186" s="17">
        <f t="shared" si="43"/>
        <v>0</v>
      </c>
      <c r="AY186" s="13"/>
      <c r="AZ186" s="17">
        <f t="shared" si="44"/>
        <v>0</v>
      </c>
      <c r="BA186" s="20">
        <f t="shared" si="45"/>
        <v>0</v>
      </c>
      <c r="BC186" s="10">
        <f t="shared" si="49"/>
        <v>0</v>
      </c>
      <c r="BD186" s="17">
        <f t="shared" si="50"/>
        <v>0</v>
      </c>
      <c r="BE186" s="17">
        <f t="shared" si="51"/>
        <v>0</v>
      </c>
      <c r="BG186" s="18">
        <f t="shared" si="48"/>
        <v>0</v>
      </c>
      <c r="BH186" s="10">
        <f t="shared" si="46"/>
        <v>0</v>
      </c>
      <c r="BI186" s="17">
        <f t="shared" si="52"/>
        <v>0</v>
      </c>
      <c r="BJ186" s="21" t="str">
        <f t="shared" si="47"/>
        <v>nenhuma</v>
      </c>
      <c r="BK186" s="17">
        <f t="shared" si="53"/>
        <v>0</v>
      </c>
    </row>
    <row r="187" spans="1:63" x14ac:dyDescent="0.25">
      <c r="A187" s="8">
        <v>183</v>
      </c>
      <c r="B187" s="10"/>
      <c r="C187" s="10"/>
      <c r="D187" s="10"/>
      <c r="E187" s="10"/>
      <c r="F187" s="13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H187" s="14">
        <f t="shared" si="40"/>
        <v>0</v>
      </c>
      <c r="AJ187" s="15">
        <v>0</v>
      </c>
      <c r="AL187" s="19"/>
      <c r="AN187" s="17">
        <f t="shared" si="41"/>
        <v>0</v>
      </c>
      <c r="AP187" s="18"/>
      <c r="AQ187" s="10"/>
      <c r="AR187" s="17">
        <f t="shared" si="42"/>
        <v>0</v>
      </c>
      <c r="AT187" s="19"/>
      <c r="AV187" s="10"/>
      <c r="AW187" s="17">
        <f t="shared" si="43"/>
        <v>0</v>
      </c>
      <c r="AY187" s="13"/>
      <c r="AZ187" s="17">
        <f t="shared" si="44"/>
        <v>0</v>
      </c>
      <c r="BA187" s="20">
        <f t="shared" si="45"/>
        <v>0</v>
      </c>
      <c r="BC187" s="10">
        <f t="shared" ref="BC187:BC220" si="54">AV187</f>
        <v>0</v>
      </c>
      <c r="BD187" s="17">
        <f t="shared" ref="BD187:BD218" si="55">IF(BC187="","",SUMIF($AT$5:$AT$220,"="&amp;BC187,$AZ$5:$AZ$220))</f>
        <v>0</v>
      </c>
      <c r="BE187" s="17">
        <f t="shared" ref="BE187:BE218" si="56">IF(AW187&gt;=0,IF(BD187&gt;=0,AW187-BD187,0),0)</f>
        <v>0</v>
      </c>
      <c r="BG187" s="18">
        <f t="shared" si="48"/>
        <v>0</v>
      </c>
      <c r="BH187" s="10">
        <f t="shared" si="46"/>
        <v>0</v>
      </c>
      <c r="BI187" s="17">
        <f t="shared" ref="BI187:BI218" si="57">IF(BG187="","",IF(BH187="",SUMIF($B$5:$B$220,"="&amp;BG187,$AZ$5:$AZ$220),SUMIFS($AZ$5:$AZ$220, $B$5:$B$220, "="&amp;BG187, $C$5:$C$220,"="&amp;BH187)))</f>
        <v>0</v>
      </c>
      <c r="BJ187" s="21" t="str">
        <f t="shared" si="47"/>
        <v>nenhuma</v>
      </c>
      <c r="BK187" s="17">
        <f t="shared" ref="BK187:BK220" si="58">IF(AR187&gt;0,IF(BI187&gt;=0,AR187-BI187,0),0)</f>
        <v>0</v>
      </c>
    </row>
    <row r="188" spans="1:63" x14ac:dyDescent="0.25">
      <c r="A188" s="8">
        <v>184</v>
      </c>
      <c r="B188" s="10"/>
      <c r="C188" s="10"/>
      <c r="D188" s="10"/>
      <c r="E188" s="10"/>
      <c r="F188" s="13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H188" s="14">
        <f t="shared" si="40"/>
        <v>0</v>
      </c>
      <c r="AJ188" s="15">
        <v>0</v>
      </c>
      <c r="AL188" s="19"/>
      <c r="AN188" s="17">
        <f t="shared" si="41"/>
        <v>0</v>
      </c>
      <c r="AP188" s="18"/>
      <c r="AQ188" s="10"/>
      <c r="AR188" s="17">
        <f t="shared" si="42"/>
        <v>0</v>
      </c>
      <c r="AT188" s="19"/>
      <c r="AV188" s="10"/>
      <c r="AW188" s="17">
        <f t="shared" si="43"/>
        <v>0</v>
      </c>
      <c r="AY188" s="13"/>
      <c r="AZ188" s="17">
        <f t="shared" si="44"/>
        <v>0</v>
      </c>
      <c r="BA188" s="20">
        <f t="shared" si="45"/>
        <v>0</v>
      </c>
      <c r="BC188" s="10">
        <f t="shared" si="54"/>
        <v>0</v>
      </c>
      <c r="BD188" s="17">
        <f t="shared" si="55"/>
        <v>0</v>
      </c>
      <c r="BE188" s="17">
        <f t="shared" si="56"/>
        <v>0</v>
      </c>
      <c r="BG188" s="18">
        <f t="shared" si="48"/>
        <v>0</v>
      </c>
      <c r="BH188" s="10">
        <f t="shared" si="46"/>
        <v>0</v>
      </c>
      <c r="BI188" s="17">
        <f t="shared" si="57"/>
        <v>0</v>
      </c>
      <c r="BJ188" s="21" t="str">
        <f t="shared" si="47"/>
        <v>nenhuma</v>
      </c>
      <c r="BK188" s="17">
        <f t="shared" si="58"/>
        <v>0</v>
      </c>
    </row>
    <row r="189" spans="1:63" x14ac:dyDescent="0.25">
      <c r="A189" s="8">
        <v>185</v>
      </c>
      <c r="B189" s="10"/>
      <c r="C189" s="10"/>
      <c r="D189" s="10"/>
      <c r="E189" s="10"/>
      <c r="F189" s="13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H189" s="14">
        <f t="shared" si="40"/>
        <v>0</v>
      </c>
      <c r="AJ189" s="15">
        <v>0</v>
      </c>
      <c r="AL189" s="19"/>
      <c r="AN189" s="17">
        <f t="shared" si="41"/>
        <v>0</v>
      </c>
      <c r="AP189" s="18"/>
      <c r="AQ189" s="10"/>
      <c r="AR189" s="17">
        <f t="shared" si="42"/>
        <v>0</v>
      </c>
      <c r="AT189" s="19"/>
      <c r="AV189" s="10"/>
      <c r="AW189" s="17">
        <f t="shared" si="43"/>
        <v>0</v>
      </c>
      <c r="AY189" s="13"/>
      <c r="AZ189" s="17">
        <f t="shared" si="44"/>
        <v>0</v>
      </c>
      <c r="BA189" s="20">
        <f t="shared" si="45"/>
        <v>0</v>
      </c>
      <c r="BC189" s="10">
        <f t="shared" si="54"/>
        <v>0</v>
      </c>
      <c r="BD189" s="17">
        <f t="shared" si="55"/>
        <v>0</v>
      </c>
      <c r="BE189" s="17">
        <f t="shared" si="56"/>
        <v>0</v>
      </c>
      <c r="BG189" s="18">
        <f t="shared" si="48"/>
        <v>0</v>
      </c>
      <c r="BH189" s="10">
        <f t="shared" si="46"/>
        <v>0</v>
      </c>
      <c r="BI189" s="17">
        <f t="shared" si="57"/>
        <v>0</v>
      </c>
      <c r="BJ189" s="21" t="str">
        <f t="shared" si="47"/>
        <v>nenhuma</v>
      </c>
      <c r="BK189" s="17">
        <f t="shared" si="58"/>
        <v>0</v>
      </c>
    </row>
    <row r="190" spans="1:63" x14ac:dyDescent="0.25">
      <c r="A190" s="8">
        <v>186</v>
      </c>
      <c r="B190" s="10"/>
      <c r="C190" s="10"/>
      <c r="D190" s="10"/>
      <c r="E190" s="10"/>
      <c r="F190" s="13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H190" s="14">
        <f t="shared" si="40"/>
        <v>0</v>
      </c>
      <c r="AJ190" s="15">
        <v>0</v>
      </c>
      <c r="AL190" s="19"/>
      <c r="AN190" s="17">
        <f t="shared" si="41"/>
        <v>0</v>
      </c>
      <c r="AP190" s="18"/>
      <c r="AQ190" s="10"/>
      <c r="AR190" s="17">
        <f t="shared" si="42"/>
        <v>0</v>
      </c>
      <c r="AT190" s="19"/>
      <c r="AV190" s="10"/>
      <c r="AW190" s="17">
        <f t="shared" si="43"/>
        <v>0</v>
      </c>
      <c r="AY190" s="13"/>
      <c r="AZ190" s="17">
        <f t="shared" si="44"/>
        <v>0</v>
      </c>
      <c r="BA190" s="20">
        <f t="shared" si="45"/>
        <v>0</v>
      </c>
      <c r="BC190" s="10">
        <f t="shared" si="54"/>
        <v>0</v>
      </c>
      <c r="BD190" s="17">
        <f t="shared" si="55"/>
        <v>0</v>
      </c>
      <c r="BE190" s="17">
        <f t="shared" si="56"/>
        <v>0</v>
      </c>
      <c r="BG190" s="18">
        <f t="shared" si="48"/>
        <v>0</v>
      </c>
      <c r="BH190" s="10">
        <f t="shared" si="46"/>
        <v>0</v>
      </c>
      <c r="BI190" s="17">
        <f t="shared" si="57"/>
        <v>0</v>
      </c>
      <c r="BJ190" s="21" t="str">
        <f t="shared" si="47"/>
        <v>nenhuma</v>
      </c>
      <c r="BK190" s="17">
        <f t="shared" si="58"/>
        <v>0</v>
      </c>
    </row>
    <row r="191" spans="1:63" x14ac:dyDescent="0.25">
      <c r="A191" s="8">
        <v>187</v>
      </c>
      <c r="B191" s="10"/>
      <c r="C191" s="10"/>
      <c r="D191" s="10"/>
      <c r="E191" s="10"/>
      <c r="F191" s="13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H191" s="14">
        <f t="shared" si="40"/>
        <v>0</v>
      </c>
      <c r="AJ191" s="15">
        <v>0</v>
      </c>
      <c r="AL191" s="19"/>
      <c r="AN191" s="17">
        <f t="shared" si="41"/>
        <v>0</v>
      </c>
      <c r="AP191" s="18"/>
      <c r="AQ191" s="10"/>
      <c r="AR191" s="17">
        <f t="shared" si="42"/>
        <v>0</v>
      </c>
      <c r="AT191" s="19"/>
      <c r="AV191" s="10"/>
      <c r="AW191" s="17">
        <f t="shared" si="43"/>
        <v>0</v>
      </c>
      <c r="AY191" s="13"/>
      <c r="AZ191" s="17">
        <f t="shared" si="44"/>
        <v>0</v>
      </c>
      <c r="BA191" s="20">
        <f t="shared" si="45"/>
        <v>0</v>
      </c>
      <c r="BC191" s="10">
        <f t="shared" si="54"/>
        <v>0</v>
      </c>
      <c r="BD191" s="17">
        <f t="shared" si="55"/>
        <v>0</v>
      </c>
      <c r="BE191" s="17">
        <f t="shared" si="56"/>
        <v>0</v>
      </c>
      <c r="BG191" s="18">
        <f t="shared" si="48"/>
        <v>0</v>
      </c>
      <c r="BH191" s="10">
        <f t="shared" si="46"/>
        <v>0</v>
      </c>
      <c r="BI191" s="17">
        <f t="shared" si="57"/>
        <v>0</v>
      </c>
      <c r="BJ191" s="21" t="str">
        <f t="shared" si="47"/>
        <v>nenhuma</v>
      </c>
      <c r="BK191" s="17">
        <f t="shared" si="58"/>
        <v>0</v>
      </c>
    </row>
    <row r="192" spans="1:63" x14ac:dyDescent="0.25">
      <c r="A192" s="8">
        <v>188</v>
      </c>
      <c r="B192" s="10"/>
      <c r="C192" s="10"/>
      <c r="D192" s="10"/>
      <c r="E192" s="10"/>
      <c r="F192" s="13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H192" s="14">
        <f t="shared" si="40"/>
        <v>0</v>
      </c>
      <c r="AJ192" s="15">
        <v>0</v>
      </c>
      <c r="AL192" s="19"/>
      <c r="AN192" s="17">
        <f t="shared" si="41"/>
        <v>0</v>
      </c>
      <c r="AP192" s="18"/>
      <c r="AQ192" s="10"/>
      <c r="AR192" s="17">
        <f t="shared" si="42"/>
        <v>0</v>
      </c>
      <c r="AT192" s="19"/>
      <c r="AV192" s="10"/>
      <c r="AW192" s="17">
        <f t="shared" si="43"/>
        <v>0</v>
      </c>
      <c r="AY192" s="13"/>
      <c r="AZ192" s="17">
        <f t="shared" si="44"/>
        <v>0</v>
      </c>
      <c r="BA192" s="20">
        <f t="shared" si="45"/>
        <v>0</v>
      </c>
      <c r="BC192" s="10">
        <f t="shared" si="54"/>
        <v>0</v>
      </c>
      <c r="BD192" s="17">
        <f t="shared" si="55"/>
        <v>0</v>
      </c>
      <c r="BE192" s="17">
        <f t="shared" si="56"/>
        <v>0</v>
      </c>
      <c r="BG192" s="18">
        <f t="shared" si="48"/>
        <v>0</v>
      </c>
      <c r="BH192" s="10">
        <f t="shared" si="46"/>
        <v>0</v>
      </c>
      <c r="BI192" s="17">
        <f t="shared" si="57"/>
        <v>0</v>
      </c>
      <c r="BJ192" s="21" t="str">
        <f t="shared" si="47"/>
        <v>nenhuma</v>
      </c>
      <c r="BK192" s="17">
        <f t="shared" si="58"/>
        <v>0</v>
      </c>
    </row>
    <row r="193" spans="1:63" x14ac:dyDescent="0.25">
      <c r="A193" s="8">
        <v>189</v>
      </c>
      <c r="B193" s="10"/>
      <c r="C193" s="10"/>
      <c r="D193" s="10"/>
      <c r="E193" s="10"/>
      <c r="F193" s="13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H193" s="14">
        <f t="shared" si="40"/>
        <v>0</v>
      </c>
      <c r="AJ193" s="15">
        <v>0</v>
      </c>
      <c r="AL193" s="19"/>
      <c r="AN193" s="17">
        <f t="shared" si="41"/>
        <v>0</v>
      </c>
      <c r="AP193" s="18"/>
      <c r="AQ193" s="10"/>
      <c r="AR193" s="17">
        <f t="shared" si="42"/>
        <v>0</v>
      </c>
      <c r="AT193" s="19"/>
      <c r="AV193" s="10"/>
      <c r="AW193" s="17">
        <f t="shared" si="43"/>
        <v>0</v>
      </c>
      <c r="AY193" s="13"/>
      <c r="AZ193" s="17">
        <f t="shared" si="44"/>
        <v>0</v>
      </c>
      <c r="BA193" s="20">
        <f t="shared" si="45"/>
        <v>0</v>
      </c>
      <c r="BC193" s="10">
        <f t="shared" si="54"/>
        <v>0</v>
      </c>
      <c r="BD193" s="17">
        <f t="shared" si="55"/>
        <v>0</v>
      </c>
      <c r="BE193" s="17">
        <f t="shared" si="56"/>
        <v>0</v>
      </c>
      <c r="BG193" s="18">
        <f t="shared" si="48"/>
        <v>0</v>
      </c>
      <c r="BH193" s="10">
        <f t="shared" si="46"/>
        <v>0</v>
      </c>
      <c r="BI193" s="17">
        <f t="shared" si="57"/>
        <v>0</v>
      </c>
      <c r="BJ193" s="21" t="str">
        <f t="shared" si="47"/>
        <v>nenhuma</v>
      </c>
      <c r="BK193" s="17">
        <f t="shared" si="58"/>
        <v>0</v>
      </c>
    </row>
    <row r="194" spans="1:63" x14ac:dyDescent="0.25">
      <c r="A194" s="8">
        <v>190</v>
      </c>
      <c r="B194" s="10"/>
      <c r="C194" s="10"/>
      <c r="D194" s="10"/>
      <c r="E194" s="10"/>
      <c r="F194" s="13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H194" s="14">
        <f t="shared" si="40"/>
        <v>0</v>
      </c>
      <c r="AJ194" s="15">
        <v>0</v>
      </c>
      <c r="AL194" s="19"/>
      <c r="AN194" s="17">
        <f t="shared" si="41"/>
        <v>0</v>
      </c>
      <c r="AP194" s="18"/>
      <c r="AQ194" s="10"/>
      <c r="AR194" s="17">
        <f t="shared" si="42"/>
        <v>0</v>
      </c>
      <c r="AT194" s="19"/>
      <c r="AV194" s="10"/>
      <c r="AW194" s="17">
        <f t="shared" si="43"/>
        <v>0</v>
      </c>
      <c r="AY194" s="13"/>
      <c r="AZ194" s="17">
        <f t="shared" si="44"/>
        <v>0</v>
      </c>
      <c r="BA194" s="20">
        <f t="shared" si="45"/>
        <v>0</v>
      </c>
      <c r="BC194" s="10">
        <f t="shared" si="54"/>
        <v>0</v>
      </c>
      <c r="BD194" s="17">
        <f t="shared" si="55"/>
        <v>0</v>
      </c>
      <c r="BE194" s="17">
        <f t="shared" si="56"/>
        <v>0</v>
      </c>
      <c r="BG194" s="18">
        <f t="shared" si="48"/>
        <v>0</v>
      </c>
      <c r="BH194" s="10">
        <f t="shared" si="46"/>
        <v>0</v>
      </c>
      <c r="BI194" s="17">
        <f t="shared" si="57"/>
        <v>0</v>
      </c>
      <c r="BJ194" s="21" t="str">
        <f t="shared" si="47"/>
        <v>nenhuma</v>
      </c>
      <c r="BK194" s="17">
        <f t="shared" si="58"/>
        <v>0</v>
      </c>
    </row>
    <row r="195" spans="1:63" x14ac:dyDescent="0.25">
      <c r="A195" s="8">
        <v>191</v>
      </c>
      <c r="B195" s="10"/>
      <c r="C195" s="10"/>
      <c r="D195" s="10"/>
      <c r="E195" s="10"/>
      <c r="F195" s="13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H195" s="14">
        <f t="shared" si="40"/>
        <v>0</v>
      </c>
      <c r="AJ195" s="15">
        <v>0</v>
      </c>
      <c r="AL195" s="19"/>
      <c r="AN195" s="17">
        <f t="shared" si="41"/>
        <v>0</v>
      </c>
      <c r="AP195" s="18"/>
      <c r="AQ195" s="10"/>
      <c r="AR195" s="17">
        <f t="shared" si="42"/>
        <v>0</v>
      </c>
      <c r="AT195" s="19"/>
      <c r="AV195" s="10"/>
      <c r="AW195" s="17">
        <f t="shared" si="43"/>
        <v>0</v>
      </c>
      <c r="AY195" s="13"/>
      <c r="AZ195" s="17">
        <f t="shared" si="44"/>
        <v>0</v>
      </c>
      <c r="BA195" s="20">
        <f t="shared" si="45"/>
        <v>0</v>
      </c>
      <c r="BC195" s="10">
        <f t="shared" si="54"/>
        <v>0</v>
      </c>
      <c r="BD195" s="17">
        <f t="shared" si="55"/>
        <v>0</v>
      </c>
      <c r="BE195" s="17">
        <f t="shared" si="56"/>
        <v>0</v>
      </c>
      <c r="BG195" s="18">
        <f t="shared" si="48"/>
        <v>0</v>
      </c>
      <c r="BH195" s="10">
        <f t="shared" si="46"/>
        <v>0</v>
      </c>
      <c r="BI195" s="17">
        <f t="shared" si="57"/>
        <v>0</v>
      </c>
      <c r="BJ195" s="21" t="str">
        <f t="shared" si="47"/>
        <v>nenhuma</v>
      </c>
      <c r="BK195" s="17">
        <f t="shared" si="58"/>
        <v>0</v>
      </c>
    </row>
    <row r="196" spans="1:63" x14ac:dyDescent="0.25">
      <c r="A196" s="8">
        <v>192</v>
      </c>
      <c r="B196" s="10"/>
      <c r="C196" s="10"/>
      <c r="D196" s="10"/>
      <c r="E196" s="10"/>
      <c r="F196" s="13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H196" s="14">
        <f t="shared" si="40"/>
        <v>0</v>
      </c>
      <c r="AJ196" s="15">
        <v>0</v>
      </c>
      <c r="AL196" s="19"/>
      <c r="AN196" s="17">
        <f t="shared" si="41"/>
        <v>0</v>
      </c>
      <c r="AP196" s="18"/>
      <c r="AQ196" s="10"/>
      <c r="AR196" s="17">
        <f t="shared" si="42"/>
        <v>0</v>
      </c>
      <c r="AT196" s="19"/>
      <c r="AV196" s="10"/>
      <c r="AW196" s="17">
        <f t="shared" si="43"/>
        <v>0</v>
      </c>
      <c r="AY196" s="13"/>
      <c r="AZ196" s="17">
        <f t="shared" si="44"/>
        <v>0</v>
      </c>
      <c r="BA196" s="20">
        <f t="shared" si="45"/>
        <v>0</v>
      </c>
      <c r="BC196" s="10">
        <f t="shared" si="54"/>
        <v>0</v>
      </c>
      <c r="BD196" s="17">
        <f t="shared" si="55"/>
        <v>0</v>
      </c>
      <c r="BE196" s="17">
        <f t="shared" si="56"/>
        <v>0</v>
      </c>
      <c r="BG196" s="18">
        <f t="shared" si="48"/>
        <v>0</v>
      </c>
      <c r="BH196" s="10">
        <f t="shared" si="46"/>
        <v>0</v>
      </c>
      <c r="BI196" s="17">
        <f t="shared" si="57"/>
        <v>0</v>
      </c>
      <c r="BJ196" s="21" t="str">
        <f t="shared" si="47"/>
        <v>nenhuma</v>
      </c>
      <c r="BK196" s="17">
        <f t="shared" si="58"/>
        <v>0</v>
      </c>
    </row>
    <row r="197" spans="1:63" x14ac:dyDescent="0.25">
      <c r="A197" s="8">
        <v>193</v>
      </c>
      <c r="B197" s="10"/>
      <c r="C197" s="10"/>
      <c r="D197" s="10"/>
      <c r="E197" s="10"/>
      <c r="F197" s="13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H197" s="14">
        <f t="shared" ref="AH197:AH220" si="59">IF(SUM(F197:AF197)&gt;0,ROUND(AVERAGE(F197:AF197),4),0)</f>
        <v>0</v>
      </c>
      <c r="AJ197" s="15">
        <v>0</v>
      </c>
      <c r="AL197" s="19"/>
      <c r="AN197" s="17">
        <f t="shared" ref="AN197:AN220" si="60">IF(AJ197&gt;0,AJ197,AH197)*AL197</f>
        <v>0</v>
      </c>
      <c r="AP197" s="18"/>
      <c r="AQ197" s="10"/>
      <c r="AR197" s="17">
        <f t="shared" ref="AR197:AR220" si="61">IF(AP197="",0,IF(AQ197="",SUMIF($B$5:$B$220,"="&amp;AP197,$AN$5:$AN$220),SUMIFS($AN$5:$AN$220, $B$5:$B$220, "="&amp;AP197, $C$5:$C$220,"="&amp;AQ197)))</f>
        <v>0</v>
      </c>
      <c r="AT197" s="19"/>
      <c r="AV197" s="10"/>
      <c r="AW197" s="17">
        <f t="shared" ref="AW197:AW220" si="62">IF(AV197="",0,SUMIF($AT$5:$AT$220,"="&amp;AV197,$AN$5:$AN$220))</f>
        <v>0</v>
      </c>
      <c r="AY197" s="13"/>
      <c r="AZ197" s="17">
        <f t="shared" ref="AZ197:AZ220" si="63">AY197*AL197</f>
        <v>0</v>
      </c>
      <c r="BA197" s="20">
        <f t="shared" ref="BA197:BA220" si="64">IF(AN197&gt;0,IF(AZ197&gt;=0,AZ197-AN197,0),0)</f>
        <v>0</v>
      </c>
      <c r="BC197" s="10">
        <f t="shared" si="54"/>
        <v>0</v>
      </c>
      <c r="BD197" s="17">
        <f t="shared" si="55"/>
        <v>0</v>
      </c>
      <c r="BE197" s="17">
        <f t="shared" si="56"/>
        <v>0</v>
      </c>
      <c r="BG197" s="18">
        <f t="shared" si="48"/>
        <v>0</v>
      </c>
      <c r="BH197" s="10">
        <f t="shared" ref="BH197:BH220" si="65">AQ197</f>
        <v>0</v>
      </c>
      <c r="BI197" s="17">
        <f t="shared" si="57"/>
        <v>0</v>
      </c>
      <c r="BJ197" s="21" t="str">
        <f t="shared" ref="BJ197:BJ220" si="66">IF(BK197&gt;0,"anular",IF(BK197&lt;0,"reforçar","nenhuma"))</f>
        <v>nenhuma</v>
      </c>
      <c r="BK197" s="17">
        <f t="shared" si="58"/>
        <v>0</v>
      </c>
    </row>
    <row r="198" spans="1:63" x14ac:dyDescent="0.25">
      <c r="A198" s="8">
        <v>194</v>
      </c>
      <c r="B198" s="10"/>
      <c r="C198" s="10"/>
      <c r="D198" s="10"/>
      <c r="E198" s="10"/>
      <c r="F198" s="13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H198" s="14">
        <f t="shared" si="59"/>
        <v>0</v>
      </c>
      <c r="AJ198" s="15">
        <v>0</v>
      </c>
      <c r="AL198" s="19"/>
      <c r="AN198" s="17">
        <f t="shared" si="60"/>
        <v>0</v>
      </c>
      <c r="AP198" s="18"/>
      <c r="AQ198" s="10"/>
      <c r="AR198" s="17">
        <f t="shared" si="61"/>
        <v>0</v>
      </c>
      <c r="AT198" s="19"/>
      <c r="AV198" s="10"/>
      <c r="AW198" s="17">
        <f t="shared" si="62"/>
        <v>0</v>
      </c>
      <c r="AY198" s="13"/>
      <c r="AZ198" s="17">
        <f t="shared" si="63"/>
        <v>0</v>
      </c>
      <c r="BA198" s="20">
        <f t="shared" si="64"/>
        <v>0</v>
      </c>
      <c r="BC198" s="10">
        <f t="shared" si="54"/>
        <v>0</v>
      </c>
      <c r="BD198" s="17">
        <f t="shared" si="55"/>
        <v>0</v>
      </c>
      <c r="BE198" s="17">
        <f t="shared" si="56"/>
        <v>0</v>
      </c>
      <c r="BG198" s="18">
        <f t="shared" si="48"/>
        <v>0</v>
      </c>
      <c r="BH198" s="10">
        <f t="shared" si="65"/>
        <v>0</v>
      </c>
      <c r="BI198" s="17">
        <f t="shared" si="57"/>
        <v>0</v>
      </c>
      <c r="BJ198" s="21" t="str">
        <f t="shared" si="66"/>
        <v>nenhuma</v>
      </c>
      <c r="BK198" s="17">
        <f t="shared" si="58"/>
        <v>0</v>
      </c>
    </row>
    <row r="199" spans="1:63" x14ac:dyDescent="0.25">
      <c r="A199" s="8">
        <v>195</v>
      </c>
      <c r="B199" s="10"/>
      <c r="C199" s="10"/>
      <c r="D199" s="10"/>
      <c r="E199" s="10"/>
      <c r="F199" s="13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H199" s="14">
        <f t="shared" si="59"/>
        <v>0</v>
      </c>
      <c r="AJ199" s="15">
        <v>0</v>
      </c>
      <c r="AL199" s="19"/>
      <c r="AN199" s="17">
        <f t="shared" si="60"/>
        <v>0</v>
      </c>
      <c r="AP199" s="18"/>
      <c r="AQ199" s="10"/>
      <c r="AR199" s="17">
        <f t="shared" si="61"/>
        <v>0</v>
      </c>
      <c r="AT199" s="19"/>
      <c r="AV199" s="10"/>
      <c r="AW199" s="17">
        <f t="shared" si="62"/>
        <v>0</v>
      </c>
      <c r="AY199" s="13"/>
      <c r="AZ199" s="17">
        <f t="shared" si="63"/>
        <v>0</v>
      </c>
      <c r="BA199" s="20">
        <f t="shared" si="64"/>
        <v>0</v>
      </c>
      <c r="BC199" s="10">
        <f t="shared" si="54"/>
        <v>0</v>
      </c>
      <c r="BD199" s="17">
        <f t="shared" si="55"/>
        <v>0</v>
      </c>
      <c r="BE199" s="17">
        <f t="shared" si="56"/>
        <v>0</v>
      </c>
      <c r="BG199" s="18">
        <f t="shared" ref="BG199:BG220" si="67">AP199</f>
        <v>0</v>
      </c>
      <c r="BH199" s="10">
        <f t="shared" si="65"/>
        <v>0</v>
      </c>
      <c r="BI199" s="17">
        <f t="shared" si="57"/>
        <v>0</v>
      </c>
      <c r="BJ199" s="21" t="str">
        <f t="shared" si="66"/>
        <v>nenhuma</v>
      </c>
      <c r="BK199" s="17">
        <f t="shared" si="58"/>
        <v>0</v>
      </c>
    </row>
    <row r="200" spans="1:63" x14ac:dyDescent="0.25">
      <c r="A200" s="8">
        <v>196</v>
      </c>
      <c r="B200" s="10"/>
      <c r="C200" s="10"/>
      <c r="D200" s="10"/>
      <c r="E200" s="10"/>
      <c r="F200" s="13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H200" s="14">
        <f t="shared" si="59"/>
        <v>0</v>
      </c>
      <c r="AJ200" s="15">
        <v>0</v>
      </c>
      <c r="AL200" s="19"/>
      <c r="AN200" s="17">
        <f t="shared" si="60"/>
        <v>0</v>
      </c>
      <c r="AP200" s="18"/>
      <c r="AQ200" s="10"/>
      <c r="AR200" s="17">
        <f t="shared" si="61"/>
        <v>0</v>
      </c>
      <c r="AT200" s="19"/>
      <c r="AV200" s="10"/>
      <c r="AW200" s="17">
        <f t="shared" si="62"/>
        <v>0</v>
      </c>
      <c r="AY200" s="13"/>
      <c r="AZ200" s="17">
        <f t="shared" si="63"/>
        <v>0</v>
      </c>
      <c r="BA200" s="20">
        <f t="shared" si="64"/>
        <v>0</v>
      </c>
      <c r="BC200" s="10">
        <f t="shared" si="54"/>
        <v>0</v>
      </c>
      <c r="BD200" s="17">
        <f t="shared" si="55"/>
        <v>0</v>
      </c>
      <c r="BE200" s="17">
        <f t="shared" si="56"/>
        <v>0</v>
      </c>
      <c r="BG200" s="18">
        <f t="shared" si="67"/>
        <v>0</v>
      </c>
      <c r="BH200" s="10">
        <f t="shared" si="65"/>
        <v>0</v>
      </c>
      <c r="BI200" s="17">
        <f t="shared" si="57"/>
        <v>0</v>
      </c>
      <c r="BJ200" s="21" t="str">
        <f t="shared" si="66"/>
        <v>nenhuma</v>
      </c>
      <c r="BK200" s="17">
        <f t="shared" si="58"/>
        <v>0</v>
      </c>
    </row>
    <row r="201" spans="1:63" x14ac:dyDescent="0.25">
      <c r="A201" s="8">
        <v>197</v>
      </c>
      <c r="B201" s="10"/>
      <c r="C201" s="10"/>
      <c r="D201" s="10"/>
      <c r="E201" s="10"/>
      <c r="F201" s="13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H201" s="14">
        <f t="shared" si="59"/>
        <v>0</v>
      </c>
      <c r="AJ201" s="15">
        <v>0</v>
      </c>
      <c r="AL201" s="19"/>
      <c r="AN201" s="17">
        <f t="shared" si="60"/>
        <v>0</v>
      </c>
      <c r="AP201" s="18"/>
      <c r="AQ201" s="10"/>
      <c r="AR201" s="17">
        <f t="shared" si="61"/>
        <v>0</v>
      </c>
      <c r="AT201" s="19"/>
      <c r="AV201" s="10"/>
      <c r="AW201" s="17">
        <f t="shared" si="62"/>
        <v>0</v>
      </c>
      <c r="AY201" s="13"/>
      <c r="AZ201" s="17">
        <f t="shared" si="63"/>
        <v>0</v>
      </c>
      <c r="BA201" s="20">
        <f t="shared" si="64"/>
        <v>0</v>
      </c>
      <c r="BC201" s="10">
        <f t="shared" si="54"/>
        <v>0</v>
      </c>
      <c r="BD201" s="17">
        <f t="shared" si="55"/>
        <v>0</v>
      </c>
      <c r="BE201" s="17">
        <f t="shared" si="56"/>
        <v>0</v>
      </c>
      <c r="BG201" s="18">
        <f t="shared" si="67"/>
        <v>0</v>
      </c>
      <c r="BH201" s="10">
        <f t="shared" si="65"/>
        <v>0</v>
      </c>
      <c r="BI201" s="17">
        <f t="shared" si="57"/>
        <v>0</v>
      </c>
      <c r="BJ201" s="21" t="str">
        <f t="shared" si="66"/>
        <v>nenhuma</v>
      </c>
      <c r="BK201" s="17">
        <f t="shared" si="58"/>
        <v>0</v>
      </c>
    </row>
    <row r="202" spans="1:63" x14ac:dyDescent="0.25">
      <c r="A202" s="8">
        <v>198</v>
      </c>
      <c r="B202" s="10"/>
      <c r="C202" s="10"/>
      <c r="D202" s="10"/>
      <c r="E202" s="10"/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H202" s="14">
        <f t="shared" si="59"/>
        <v>0</v>
      </c>
      <c r="AJ202" s="15">
        <v>0</v>
      </c>
      <c r="AL202" s="19"/>
      <c r="AN202" s="17">
        <f t="shared" si="60"/>
        <v>0</v>
      </c>
      <c r="AP202" s="18"/>
      <c r="AQ202" s="10"/>
      <c r="AR202" s="17">
        <f t="shared" si="61"/>
        <v>0</v>
      </c>
      <c r="AT202" s="19"/>
      <c r="AV202" s="10"/>
      <c r="AW202" s="17">
        <f t="shared" si="62"/>
        <v>0</v>
      </c>
      <c r="AY202" s="13"/>
      <c r="AZ202" s="17">
        <f t="shared" si="63"/>
        <v>0</v>
      </c>
      <c r="BA202" s="20">
        <f t="shared" si="64"/>
        <v>0</v>
      </c>
      <c r="BC202" s="10">
        <f t="shared" si="54"/>
        <v>0</v>
      </c>
      <c r="BD202" s="17">
        <f t="shared" si="55"/>
        <v>0</v>
      </c>
      <c r="BE202" s="17">
        <f t="shared" si="56"/>
        <v>0</v>
      </c>
      <c r="BG202" s="18">
        <f t="shared" si="67"/>
        <v>0</v>
      </c>
      <c r="BH202" s="10">
        <f t="shared" si="65"/>
        <v>0</v>
      </c>
      <c r="BI202" s="17">
        <f t="shared" si="57"/>
        <v>0</v>
      </c>
      <c r="BJ202" s="21" t="str">
        <f t="shared" si="66"/>
        <v>nenhuma</v>
      </c>
      <c r="BK202" s="17">
        <f t="shared" si="58"/>
        <v>0</v>
      </c>
    </row>
    <row r="203" spans="1:63" x14ac:dyDescent="0.25">
      <c r="A203" s="8">
        <v>199</v>
      </c>
      <c r="B203" s="10"/>
      <c r="C203" s="10"/>
      <c r="D203" s="10"/>
      <c r="E203" s="10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H203" s="14">
        <f t="shared" si="59"/>
        <v>0</v>
      </c>
      <c r="AJ203" s="15">
        <v>0</v>
      </c>
      <c r="AL203" s="19"/>
      <c r="AN203" s="17">
        <f t="shared" si="60"/>
        <v>0</v>
      </c>
      <c r="AP203" s="18"/>
      <c r="AQ203" s="10"/>
      <c r="AR203" s="17">
        <f t="shared" si="61"/>
        <v>0</v>
      </c>
      <c r="AT203" s="19"/>
      <c r="AV203" s="10"/>
      <c r="AW203" s="17">
        <f t="shared" si="62"/>
        <v>0</v>
      </c>
      <c r="AY203" s="13"/>
      <c r="AZ203" s="17">
        <f t="shared" si="63"/>
        <v>0</v>
      </c>
      <c r="BA203" s="20">
        <f t="shared" si="64"/>
        <v>0</v>
      </c>
      <c r="BC203" s="10">
        <f t="shared" si="54"/>
        <v>0</v>
      </c>
      <c r="BD203" s="17">
        <f t="shared" si="55"/>
        <v>0</v>
      </c>
      <c r="BE203" s="17">
        <f t="shared" si="56"/>
        <v>0</v>
      </c>
      <c r="BG203" s="18">
        <f t="shared" si="67"/>
        <v>0</v>
      </c>
      <c r="BH203" s="10">
        <f t="shared" si="65"/>
        <v>0</v>
      </c>
      <c r="BI203" s="17">
        <f t="shared" si="57"/>
        <v>0</v>
      </c>
      <c r="BJ203" s="21" t="str">
        <f t="shared" si="66"/>
        <v>nenhuma</v>
      </c>
      <c r="BK203" s="17">
        <f t="shared" si="58"/>
        <v>0</v>
      </c>
    </row>
    <row r="204" spans="1:63" x14ac:dyDescent="0.25">
      <c r="A204" s="8">
        <v>200</v>
      </c>
      <c r="B204" s="10"/>
      <c r="C204" s="10"/>
      <c r="D204" s="10"/>
      <c r="E204" s="10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H204" s="14">
        <f t="shared" si="59"/>
        <v>0</v>
      </c>
      <c r="AJ204" s="15">
        <v>0</v>
      </c>
      <c r="AL204" s="19"/>
      <c r="AN204" s="17">
        <f t="shared" si="60"/>
        <v>0</v>
      </c>
      <c r="AP204" s="18"/>
      <c r="AQ204" s="10"/>
      <c r="AR204" s="17">
        <f t="shared" si="61"/>
        <v>0</v>
      </c>
      <c r="AT204" s="19"/>
      <c r="AV204" s="10"/>
      <c r="AW204" s="17">
        <f t="shared" si="62"/>
        <v>0</v>
      </c>
      <c r="AY204" s="13"/>
      <c r="AZ204" s="17">
        <f t="shared" si="63"/>
        <v>0</v>
      </c>
      <c r="BA204" s="20">
        <f t="shared" si="64"/>
        <v>0</v>
      </c>
      <c r="BC204" s="10">
        <f t="shared" si="54"/>
        <v>0</v>
      </c>
      <c r="BD204" s="17">
        <f t="shared" si="55"/>
        <v>0</v>
      </c>
      <c r="BE204" s="17">
        <f t="shared" si="56"/>
        <v>0</v>
      </c>
      <c r="BG204" s="18">
        <f t="shared" si="67"/>
        <v>0</v>
      </c>
      <c r="BH204" s="10">
        <f t="shared" si="65"/>
        <v>0</v>
      </c>
      <c r="BI204" s="17">
        <f t="shared" si="57"/>
        <v>0</v>
      </c>
      <c r="BJ204" s="21" t="str">
        <f t="shared" si="66"/>
        <v>nenhuma</v>
      </c>
      <c r="BK204" s="17">
        <f t="shared" si="58"/>
        <v>0</v>
      </c>
    </row>
    <row r="205" spans="1:63" x14ac:dyDescent="0.25">
      <c r="A205" s="8">
        <v>201</v>
      </c>
      <c r="B205" s="10"/>
      <c r="C205" s="10"/>
      <c r="D205" s="10"/>
      <c r="E205" s="10"/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H205" s="14">
        <f t="shared" si="59"/>
        <v>0</v>
      </c>
      <c r="AJ205" s="15">
        <v>0</v>
      </c>
      <c r="AL205" s="19"/>
      <c r="AN205" s="17">
        <f t="shared" si="60"/>
        <v>0</v>
      </c>
      <c r="AP205" s="18"/>
      <c r="AQ205" s="10"/>
      <c r="AR205" s="17">
        <f t="shared" si="61"/>
        <v>0</v>
      </c>
      <c r="AT205" s="19"/>
      <c r="AV205" s="10"/>
      <c r="AW205" s="17">
        <f t="shared" si="62"/>
        <v>0</v>
      </c>
      <c r="AY205" s="13"/>
      <c r="AZ205" s="17">
        <f t="shared" si="63"/>
        <v>0</v>
      </c>
      <c r="BA205" s="20">
        <f t="shared" si="64"/>
        <v>0</v>
      </c>
      <c r="BC205" s="10">
        <f t="shared" si="54"/>
        <v>0</v>
      </c>
      <c r="BD205" s="17">
        <f t="shared" si="55"/>
        <v>0</v>
      </c>
      <c r="BE205" s="17">
        <f t="shared" si="56"/>
        <v>0</v>
      </c>
      <c r="BG205" s="18">
        <f t="shared" si="67"/>
        <v>0</v>
      </c>
      <c r="BH205" s="10">
        <f t="shared" si="65"/>
        <v>0</v>
      </c>
      <c r="BI205" s="17">
        <f t="shared" si="57"/>
        <v>0</v>
      </c>
      <c r="BJ205" s="21" t="str">
        <f t="shared" si="66"/>
        <v>nenhuma</v>
      </c>
      <c r="BK205" s="17">
        <f t="shared" si="58"/>
        <v>0</v>
      </c>
    </row>
    <row r="206" spans="1:63" x14ac:dyDescent="0.25">
      <c r="A206" s="8">
        <v>202</v>
      </c>
      <c r="B206" s="10"/>
      <c r="C206" s="10"/>
      <c r="D206" s="10"/>
      <c r="E206" s="10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H206" s="14">
        <f t="shared" si="59"/>
        <v>0</v>
      </c>
      <c r="AJ206" s="15">
        <v>0</v>
      </c>
      <c r="AL206" s="19"/>
      <c r="AN206" s="17">
        <f t="shared" si="60"/>
        <v>0</v>
      </c>
      <c r="AP206" s="18"/>
      <c r="AQ206" s="10"/>
      <c r="AR206" s="17">
        <f t="shared" si="61"/>
        <v>0</v>
      </c>
      <c r="AT206" s="19"/>
      <c r="AV206" s="10"/>
      <c r="AW206" s="17">
        <f t="shared" si="62"/>
        <v>0</v>
      </c>
      <c r="AY206" s="13"/>
      <c r="AZ206" s="17">
        <f t="shared" si="63"/>
        <v>0</v>
      </c>
      <c r="BA206" s="20">
        <f t="shared" si="64"/>
        <v>0</v>
      </c>
      <c r="BC206" s="10">
        <f t="shared" si="54"/>
        <v>0</v>
      </c>
      <c r="BD206" s="17">
        <f t="shared" si="55"/>
        <v>0</v>
      </c>
      <c r="BE206" s="17">
        <f t="shared" si="56"/>
        <v>0</v>
      </c>
      <c r="BG206" s="18">
        <f t="shared" si="67"/>
        <v>0</v>
      </c>
      <c r="BH206" s="10">
        <f t="shared" si="65"/>
        <v>0</v>
      </c>
      <c r="BI206" s="17">
        <f t="shared" si="57"/>
        <v>0</v>
      </c>
      <c r="BJ206" s="21" t="str">
        <f t="shared" si="66"/>
        <v>nenhuma</v>
      </c>
      <c r="BK206" s="17">
        <f t="shared" si="58"/>
        <v>0</v>
      </c>
    </row>
    <row r="207" spans="1:63" x14ac:dyDescent="0.25">
      <c r="A207" s="8">
        <v>203</v>
      </c>
      <c r="B207" s="10"/>
      <c r="C207" s="10"/>
      <c r="D207" s="10"/>
      <c r="E207" s="10"/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H207" s="14">
        <f t="shared" si="59"/>
        <v>0</v>
      </c>
      <c r="AJ207" s="15">
        <v>0</v>
      </c>
      <c r="AL207" s="19"/>
      <c r="AN207" s="17">
        <f t="shared" si="60"/>
        <v>0</v>
      </c>
      <c r="AP207" s="18"/>
      <c r="AQ207" s="10"/>
      <c r="AR207" s="17">
        <f t="shared" si="61"/>
        <v>0</v>
      </c>
      <c r="AT207" s="19"/>
      <c r="AV207" s="10"/>
      <c r="AW207" s="17">
        <f t="shared" si="62"/>
        <v>0</v>
      </c>
      <c r="AY207" s="13"/>
      <c r="AZ207" s="17">
        <f t="shared" si="63"/>
        <v>0</v>
      </c>
      <c r="BA207" s="20">
        <f t="shared" si="64"/>
        <v>0</v>
      </c>
      <c r="BC207" s="10">
        <f t="shared" si="54"/>
        <v>0</v>
      </c>
      <c r="BD207" s="17">
        <f t="shared" si="55"/>
        <v>0</v>
      </c>
      <c r="BE207" s="17">
        <f t="shared" si="56"/>
        <v>0</v>
      </c>
      <c r="BG207" s="18">
        <f t="shared" si="67"/>
        <v>0</v>
      </c>
      <c r="BH207" s="10">
        <f t="shared" si="65"/>
        <v>0</v>
      </c>
      <c r="BI207" s="17">
        <f t="shared" si="57"/>
        <v>0</v>
      </c>
      <c r="BJ207" s="21" t="str">
        <f t="shared" si="66"/>
        <v>nenhuma</v>
      </c>
      <c r="BK207" s="17">
        <f t="shared" si="58"/>
        <v>0</v>
      </c>
    </row>
    <row r="208" spans="1:63" x14ac:dyDescent="0.25">
      <c r="A208" s="8">
        <v>204</v>
      </c>
      <c r="B208" s="10"/>
      <c r="C208" s="10"/>
      <c r="D208" s="10"/>
      <c r="E208" s="10"/>
      <c r="F208" s="13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H208" s="14">
        <f t="shared" si="59"/>
        <v>0</v>
      </c>
      <c r="AJ208" s="15">
        <v>0</v>
      </c>
      <c r="AL208" s="19"/>
      <c r="AN208" s="17">
        <f t="shared" si="60"/>
        <v>0</v>
      </c>
      <c r="AP208" s="18"/>
      <c r="AQ208" s="10"/>
      <c r="AR208" s="17">
        <f t="shared" si="61"/>
        <v>0</v>
      </c>
      <c r="AT208" s="19"/>
      <c r="AV208" s="10"/>
      <c r="AW208" s="17">
        <f t="shared" si="62"/>
        <v>0</v>
      </c>
      <c r="AY208" s="13"/>
      <c r="AZ208" s="17">
        <f t="shared" si="63"/>
        <v>0</v>
      </c>
      <c r="BA208" s="20">
        <f t="shared" si="64"/>
        <v>0</v>
      </c>
      <c r="BC208" s="10">
        <f t="shared" si="54"/>
        <v>0</v>
      </c>
      <c r="BD208" s="17">
        <f t="shared" si="55"/>
        <v>0</v>
      </c>
      <c r="BE208" s="17">
        <f t="shared" si="56"/>
        <v>0</v>
      </c>
      <c r="BG208" s="18">
        <f t="shared" si="67"/>
        <v>0</v>
      </c>
      <c r="BH208" s="10">
        <f t="shared" si="65"/>
        <v>0</v>
      </c>
      <c r="BI208" s="17">
        <f t="shared" si="57"/>
        <v>0</v>
      </c>
      <c r="BJ208" s="21" t="str">
        <f t="shared" si="66"/>
        <v>nenhuma</v>
      </c>
      <c r="BK208" s="17">
        <f t="shared" si="58"/>
        <v>0</v>
      </c>
    </row>
    <row r="209" spans="1:63" x14ac:dyDescent="0.25">
      <c r="A209" s="8">
        <v>205</v>
      </c>
      <c r="B209" s="10"/>
      <c r="C209" s="10"/>
      <c r="D209" s="10"/>
      <c r="E209" s="10"/>
      <c r="F209" s="13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H209" s="14">
        <f t="shared" si="59"/>
        <v>0</v>
      </c>
      <c r="AJ209" s="15">
        <v>0</v>
      </c>
      <c r="AL209" s="19"/>
      <c r="AN209" s="17">
        <f t="shared" si="60"/>
        <v>0</v>
      </c>
      <c r="AP209" s="18"/>
      <c r="AQ209" s="10"/>
      <c r="AR209" s="17">
        <f t="shared" si="61"/>
        <v>0</v>
      </c>
      <c r="AT209" s="19"/>
      <c r="AV209" s="10"/>
      <c r="AW209" s="17">
        <f t="shared" si="62"/>
        <v>0</v>
      </c>
      <c r="AY209" s="13"/>
      <c r="AZ209" s="17">
        <f t="shared" si="63"/>
        <v>0</v>
      </c>
      <c r="BA209" s="20">
        <f t="shared" si="64"/>
        <v>0</v>
      </c>
      <c r="BC209" s="10">
        <f t="shared" si="54"/>
        <v>0</v>
      </c>
      <c r="BD209" s="17">
        <f t="shared" si="55"/>
        <v>0</v>
      </c>
      <c r="BE209" s="17">
        <f t="shared" si="56"/>
        <v>0</v>
      </c>
      <c r="BG209" s="18">
        <f t="shared" si="67"/>
        <v>0</v>
      </c>
      <c r="BH209" s="10">
        <f t="shared" si="65"/>
        <v>0</v>
      </c>
      <c r="BI209" s="17">
        <f t="shared" si="57"/>
        <v>0</v>
      </c>
      <c r="BJ209" s="21" t="str">
        <f t="shared" si="66"/>
        <v>nenhuma</v>
      </c>
      <c r="BK209" s="17">
        <f t="shared" si="58"/>
        <v>0</v>
      </c>
    </row>
    <row r="210" spans="1:63" x14ac:dyDescent="0.25">
      <c r="A210" s="8">
        <v>206</v>
      </c>
      <c r="B210" s="10"/>
      <c r="C210" s="10"/>
      <c r="D210" s="10"/>
      <c r="E210" s="10"/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H210" s="14">
        <f t="shared" si="59"/>
        <v>0</v>
      </c>
      <c r="AJ210" s="15">
        <v>0</v>
      </c>
      <c r="AL210" s="19"/>
      <c r="AN210" s="17">
        <f t="shared" si="60"/>
        <v>0</v>
      </c>
      <c r="AP210" s="18"/>
      <c r="AQ210" s="10"/>
      <c r="AR210" s="17">
        <f t="shared" si="61"/>
        <v>0</v>
      </c>
      <c r="AT210" s="19"/>
      <c r="AV210" s="10"/>
      <c r="AW210" s="17">
        <f t="shared" si="62"/>
        <v>0</v>
      </c>
      <c r="AY210" s="13"/>
      <c r="AZ210" s="17">
        <f t="shared" si="63"/>
        <v>0</v>
      </c>
      <c r="BA210" s="20">
        <f t="shared" si="64"/>
        <v>0</v>
      </c>
      <c r="BC210" s="10">
        <f t="shared" si="54"/>
        <v>0</v>
      </c>
      <c r="BD210" s="17">
        <f t="shared" si="55"/>
        <v>0</v>
      </c>
      <c r="BE210" s="17">
        <f t="shared" si="56"/>
        <v>0</v>
      </c>
      <c r="BG210" s="18">
        <f t="shared" si="67"/>
        <v>0</v>
      </c>
      <c r="BH210" s="10">
        <f t="shared" si="65"/>
        <v>0</v>
      </c>
      <c r="BI210" s="17">
        <f t="shared" si="57"/>
        <v>0</v>
      </c>
      <c r="BJ210" s="21" t="str">
        <f t="shared" si="66"/>
        <v>nenhuma</v>
      </c>
      <c r="BK210" s="17">
        <f t="shared" si="58"/>
        <v>0</v>
      </c>
    </row>
    <row r="211" spans="1:63" x14ac:dyDescent="0.25">
      <c r="A211" s="8">
        <v>207</v>
      </c>
      <c r="B211" s="10"/>
      <c r="C211" s="10"/>
      <c r="D211" s="10"/>
      <c r="E211" s="10"/>
      <c r="F211" s="13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H211" s="14">
        <f t="shared" si="59"/>
        <v>0</v>
      </c>
      <c r="AJ211" s="15">
        <v>0</v>
      </c>
      <c r="AL211" s="19"/>
      <c r="AN211" s="17">
        <f t="shared" si="60"/>
        <v>0</v>
      </c>
      <c r="AP211" s="18"/>
      <c r="AQ211" s="10"/>
      <c r="AR211" s="17">
        <f t="shared" si="61"/>
        <v>0</v>
      </c>
      <c r="AT211" s="19"/>
      <c r="AV211" s="10"/>
      <c r="AW211" s="17">
        <f t="shared" si="62"/>
        <v>0</v>
      </c>
      <c r="AY211" s="13"/>
      <c r="AZ211" s="17">
        <f t="shared" si="63"/>
        <v>0</v>
      </c>
      <c r="BA211" s="20">
        <f t="shared" si="64"/>
        <v>0</v>
      </c>
      <c r="BC211" s="10">
        <f t="shared" si="54"/>
        <v>0</v>
      </c>
      <c r="BD211" s="17">
        <f t="shared" si="55"/>
        <v>0</v>
      </c>
      <c r="BE211" s="17">
        <f t="shared" si="56"/>
        <v>0</v>
      </c>
      <c r="BG211" s="18">
        <f t="shared" si="67"/>
        <v>0</v>
      </c>
      <c r="BH211" s="10">
        <f t="shared" si="65"/>
        <v>0</v>
      </c>
      <c r="BI211" s="17">
        <f t="shared" si="57"/>
        <v>0</v>
      </c>
      <c r="BJ211" s="21" t="str">
        <f t="shared" si="66"/>
        <v>nenhuma</v>
      </c>
      <c r="BK211" s="17">
        <f t="shared" si="58"/>
        <v>0</v>
      </c>
    </row>
    <row r="212" spans="1:63" x14ac:dyDescent="0.25">
      <c r="A212" s="8">
        <v>208</v>
      </c>
      <c r="B212" s="10"/>
      <c r="C212" s="10"/>
      <c r="D212" s="10"/>
      <c r="E212" s="10"/>
      <c r="F212" s="13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H212" s="14">
        <f t="shared" si="59"/>
        <v>0</v>
      </c>
      <c r="AJ212" s="15">
        <v>0</v>
      </c>
      <c r="AL212" s="19"/>
      <c r="AN212" s="17">
        <f t="shared" si="60"/>
        <v>0</v>
      </c>
      <c r="AP212" s="18"/>
      <c r="AQ212" s="10"/>
      <c r="AR212" s="17">
        <f t="shared" si="61"/>
        <v>0</v>
      </c>
      <c r="AT212" s="19"/>
      <c r="AV212" s="10"/>
      <c r="AW212" s="17">
        <f t="shared" si="62"/>
        <v>0</v>
      </c>
      <c r="AY212" s="13"/>
      <c r="AZ212" s="17">
        <f t="shared" si="63"/>
        <v>0</v>
      </c>
      <c r="BA212" s="20">
        <f t="shared" si="64"/>
        <v>0</v>
      </c>
      <c r="BC212" s="10">
        <f t="shared" si="54"/>
        <v>0</v>
      </c>
      <c r="BD212" s="17">
        <f t="shared" si="55"/>
        <v>0</v>
      </c>
      <c r="BE212" s="17">
        <f t="shared" si="56"/>
        <v>0</v>
      </c>
      <c r="BG212" s="18">
        <f t="shared" si="67"/>
        <v>0</v>
      </c>
      <c r="BH212" s="10">
        <f t="shared" si="65"/>
        <v>0</v>
      </c>
      <c r="BI212" s="17">
        <f t="shared" si="57"/>
        <v>0</v>
      </c>
      <c r="BJ212" s="21" t="str">
        <f t="shared" si="66"/>
        <v>nenhuma</v>
      </c>
      <c r="BK212" s="17">
        <f t="shared" si="58"/>
        <v>0</v>
      </c>
    </row>
    <row r="213" spans="1:63" x14ac:dyDescent="0.25">
      <c r="A213" s="8">
        <v>209</v>
      </c>
      <c r="B213" s="10"/>
      <c r="C213" s="10"/>
      <c r="D213" s="10"/>
      <c r="E213" s="10"/>
      <c r="F213" s="13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H213" s="14">
        <f t="shared" si="59"/>
        <v>0</v>
      </c>
      <c r="AJ213" s="15">
        <v>0</v>
      </c>
      <c r="AL213" s="19"/>
      <c r="AN213" s="17">
        <f t="shared" si="60"/>
        <v>0</v>
      </c>
      <c r="AP213" s="18"/>
      <c r="AQ213" s="10"/>
      <c r="AR213" s="17">
        <f t="shared" si="61"/>
        <v>0</v>
      </c>
      <c r="AT213" s="19"/>
      <c r="AV213" s="10"/>
      <c r="AW213" s="17">
        <f t="shared" si="62"/>
        <v>0</v>
      </c>
      <c r="AY213" s="13"/>
      <c r="AZ213" s="17">
        <f t="shared" si="63"/>
        <v>0</v>
      </c>
      <c r="BA213" s="20">
        <f t="shared" si="64"/>
        <v>0</v>
      </c>
      <c r="BC213" s="10">
        <f t="shared" si="54"/>
        <v>0</v>
      </c>
      <c r="BD213" s="17">
        <f t="shared" si="55"/>
        <v>0</v>
      </c>
      <c r="BE213" s="17">
        <f t="shared" si="56"/>
        <v>0</v>
      </c>
      <c r="BG213" s="18">
        <f t="shared" si="67"/>
        <v>0</v>
      </c>
      <c r="BH213" s="10">
        <f t="shared" si="65"/>
        <v>0</v>
      </c>
      <c r="BI213" s="17">
        <f t="shared" si="57"/>
        <v>0</v>
      </c>
      <c r="BJ213" s="21" t="str">
        <f t="shared" si="66"/>
        <v>nenhuma</v>
      </c>
      <c r="BK213" s="17">
        <f t="shared" si="58"/>
        <v>0</v>
      </c>
    </row>
    <row r="214" spans="1:63" x14ac:dyDescent="0.25">
      <c r="A214" s="8">
        <v>210</v>
      </c>
      <c r="B214" s="10"/>
      <c r="C214" s="10"/>
      <c r="D214" s="10"/>
      <c r="E214" s="10"/>
      <c r="F214" s="13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H214" s="14">
        <f t="shared" si="59"/>
        <v>0</v>
      </c>
      <c r="AJ214" s="15">
        <v>0</v>
      </c>
      <c r="AL214" s="19"/>
      <c r="AN214" s="17">
        <f t="shared" si="60"/>
        <v>0</v>
      </c>
      <c r="AP214" s="18"/>
      <c r="AQ214" s="10"/>
      <c r="AR214" s="17">
        <f t="shared" si="61"/>
        <v>0</v>
      </c>
      <c r="AT214" s="19"/>
      <c r="AV214" s="10"/>
      <c r="AW214" s="17">
        <f t="shared" si="62"/>
        <v>0</v>
      </c>
      <c r="AY214" s="13"/>
      <c r="AZ214" s="17">
        <f t="shared" si="63"/>
        <v>0</v>
      </c>
      <c r="BA214" s="20">
        <f t="shared" si="64"/>
        <v>0</v>
      </c>
      <c r="BC214" s="10">
        <f t="shared" si="54"/>
        <v>0</v>
      </c>
      <c r="BD214" s="17">
        <f t="shared" si="55"/>
        <v>0</v>
      </c>
      <c r="BE214" s="17">
        <f t="shared" si="56"/>
        <v>0</v>
      </c>
      <c r="BG214" s="18">
        <f t="shared" si="67"/>
        <v>0</v>
      </c>
      <c r="BH214" s="10">
        <f t="shared" si="65"/>
        <v>0</v>
      </c>
      <c r="BI214" s="17">
        <f t="shared" si="57"/>
        <v>0</v>
      </c>
      <c r="BJ214" s="21" t="str">
        <f t="shared" si="66"/>
        <v>nenhuma</v>
      </c>
      <c r="BK214" s="17">
        <f t="shared" si="58"/>
        <v>0</v>
      </c>
    </row>
    <row r="215" spans="1:63" x14ac:dyDescent="0.25">
      <c r="A215" s="8">
        <v>211</v>
      </c>
      <c r="B215" s="10"/>
      <c r="C215" s="10"/>
      <c r="D215" s="10"/>
      <c r="E215" s="10"/>
      <c r="F215" s="13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H215" s="14">
        <f t="shared" si="59"/>
        <v>0</v>
      </c>
      <c r="AJ215" s="15">
        <v>0</v>
      </c>
      <c r="AL215" s="19"/>
      <c r="AN215" s="17">
        <f t="shared" si="60"/>
        <v>0</v>
      </c>
      <c r="AP215" s="18"/>
      <c r="AQ215" s="10"/>
      <c r="AR215" s="17">
        <f t="shared" si="61"/>
        <v>0</v>
      </c>
      <c r="AT215" s="19"/>
      <c r="AV215" s="10"/>
      <c r="AW215" s="17">
        <f t="shared" si="62"/>
        <v>0</v>
      </c>
      <c r="AY215" s="13"/>
      <c r="AZ215" s="17">
        <f t="shared" si="63"/>
        <v>0</v>
      </c>
      <c r="BA215" s="20">
        <f t="shared" si="64"/>
        <v>0</v>
      </c>
      <c r="BC215" s="10">
        <f t="shared" si="54"/>
        <v>0</v>
      </c>
      <c r="BD215" s="17">
        <f t="shared" si="55"/>
        <v>0</v>
      </c>
      <c r="BE215" s="17">
        <f t="shared" si="56"/>
        <v>0</v>
      </c>
      <c r="BG215" s="18">
        <f t="shared" si="67"/>
        <v>0</v>
      </c>
      <c r="BH215" s="10">
        <f t="shared" si="65"/>
        <v>0</v>
      </c>
      <c r="BI215" s="17">
        <f t="shared" si="57"/>
        <v>0</v>
      </c>
      <c r="BJ215" s="21" t="str">
        <f t="shared" si="66"/>
        <v>nenhuma</v>
      </c>
      <c r="BK215" s="17">
        <f t="shared" si="58"/>
        <v>0</v>
      </c>
    </row>
    <row r="216" spans="1:63" x14ac:dyDescent="0.25">
      <c r="A216" s="8">
        <v>212</v>
      </c>
      <c r="B216" s="10"/>
      <c r="C216" s="10"/>
      <c r="D216" s="10"/>
      <c r="E216" s="10"/>
      <c r="F216" s="13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H216" s="14">
        <f t="shared" si="59"/>
        <v>0</v>
      </c>
      <c r="AJ216" s="15">
        <v>0</v>
      </c>
      <c r="AL216" s="19"/>
      <c r="AN216" s="17">
        <f t="shared" si="60"/>
        <v>0</v>
      </c>
      <c r="AP216" s="18"/>
      <c r="AQ216" s="10"/>
      <c r="AR216" s="17">
        <f t="shared" si="61"/>
        <v>0</v>
      </c>
      <c r="AT216" s="19"/>
      <c r="AV216" s="10"/>
      <c r="AW216" s="17">
        <f t="shared" si="62"/>
        <v>0</v>
      </c>
      <c r="AY216" s="13"/>
      <c r="AZ216" s="17">
        <f t="shared" si="63"/>
        <v>0</v>
      </c>
      <c r="BA216" s="20">
        <f t="shared" si="64"/>
        <v>0</v>
      </c>
      <c r="BC216" s="10">
        <f t="shared" si="54"/>
        <v>0</v>
      </c>
      <c r="BD216" s="17">
        <f t="shared" si="55"/>
        <v>0</v>
      </c>
      <c r="BE216" s="17">
        <f t="shared" si="56"/>
        <v>0</v>
      </c>
      <c r="BG216" s="18">
        <f t="shared" si="67"/>
        <v>0</v>
      </c>
      <c r="BH216" s="10">
        <f t="shared" si="65"/>
        <v>0</v>
      </c>
      <c r="BI216" s="17">
        <f t="shared" si="57"/>
        <v>0</v>
      </c>
      <c r="BJ216" s="21" t="str">
        <f t="shared" si="66"/>
        <v>nenhuma</v>
      </c>
      <c r="BK216" s="17">
        <f t="shared" si="58"/>
        <v>0</v>
      </c>
    </row>
    <row r="217" spans="1:63" x14ac:dyDescent="0.25">
      <c r="A217" s="8">
        <v>213</v>
      </c>
      <c r="B217" s="10"/>
      <c r="C217" s="10"/>
      <c r="D217" s="10"/>
      <c r="E217" s="10"/>
      <c r="F217" s="13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H217" s="14">
        <f t="shared" si="59"/>
        <v>0</v>
      </c>
      <c r="AJ217" s="15">
        <v>0</v>
      </c>
      <c r="AL217" s="19"/>
      <c r="AN217" s="17">
        <f t="shared" si="60"/>
        <v>0</v>
      </c>
      <c r="AP217" s="18"/>
      <c r="AQ217" s="10"/>
      <c r="AR217" s="17">
        <f t="shared" si="61"/>
        <v>0</v>
      </c>
      <c r="AT217" s="19"/>
      <c r="AV217" s="10"/>
      <c r="AW217" s="17">
        <f t="shared" si="62"/>
        <v>0</v>
      </c>
      <c r="AY217" s="13"/>
      <c r="AZ217" s="17">
        <f t="shared" si="63"/>
        <v>0</v>
      </c>
      <c r="BA217" s="20">
        <f t="shared" si="64"/>
        <v>0</v>
      </c>
      <c r="BC217" s="10">
        <f t="shared" si="54"/>
        <v>0</v>
      </c>
      <c r="BD217" s="17">
        <f t="shared" si="55"/>
        <v>0</v>
      </c>
      <c r="BE217" s="17">
        <f t="shared" si="56"/>
        <v>0</v>
      </c>
      <c r="BG217" s="18">
        <f t="shared" si="67"/>
        <v>0</v>
      </c>
      <c r="BH217" s="10">
        <f t="shared" si="65"/>
        <v>0</v>
      </c>
      <c r="BI217" s="17">
        <f t="shared" si="57"/>
        <v>0</v>
      </c>
      <c r="BJ217" s="21" t="str">
        <f t="shared" si="66"/>
        <v>nenhuma</v>
      </c>
      <c r="BK217" s="17">
        <f t="shared" si="58"/>
        <v>0</v>
      </c>
    </row>
    <row r="218" spans="1:63" x14ac:dyDescent="0.25">
      <c r="A218" s="8">
        <v>214</v>
      </c>
      <c r="B218" s="10"/>
      <c r="C218" s="10"/>
      <c r="D218" s="10"/>
      <c r="E218" s="10"/>
      <c r="F218" s="13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H218" s="14">
        <f t="shared" si="59"/>
        <v>0</v>
      </c>
      <c r="AJ218" s="15">
        <v>0</v>
      </c>
      <c r="AL218" s="19"/>
      <c r="AN218" s="17">
        <f t="shared" si="60"/>
        <v>0</v>
      </c>
      <c r="AP218" s="18"/>
      <c r="AQ218" s="10"/>
      <c r="AR218" s="17">
        <f t="shared" si="61"/>
        <v>0</v>
      </c>
      <c r="AT218" s="19"/>
      <c r="AV218" s="10"/>
      <c r="AW218" s="17">
        <f t="shared" si="62"/>
        <v>0</v>
      </c>
      <c r="AY218" s="13"/>
      <c r="AZ218" s="17">
        <f t="shared" si="63"/>
        <v>0</v>
      </c>
      <c r="BA218" s="20">
        <f t="shared" si="64"/>
        <v>0</v>
      </c>
      <c r="BC218" s="10">
        <f t="shared" si="54"/>
        <v>0</v>
      </c>
      <c r="BD218" s="17">
        <f t="shared" si="55"/>
        <v>0</v>
      </c>
      <c r="BE218" s="17">
        <f t="shared" si="56"/>
        <v>0</v>
      </c>
      <c r="BG218" s="18">
        <f t="shared" si="67"/>
        <v>0</v>
      </c>
      <c r="BH218" s="10">
        <f t="shared" si="65"/>
        <v>0</v>
      </c>
      <c r="BI218" s="17">
        <f t="shared" si="57"/>
        <v>0</v>
      </c>
      <c r="BJ218" s="21" t="str">
        <f t="shared" si="66"/>
        <v>nenhuma</v>
      </c>
      <c r="BK218" s="17">
        <f t="shared" si="58"/>
        <v>0</v>
      </c>
    </row>
    <row r="219" spans="1:63" x14ac:dyDescent="0.25">
      <c r="A219" s="8">
        <v>215</v>
      </c>
      <c r="B219" s="10"/>
      <c r="C219" s="10"/>
      <c r="D219" s="10"/>
      <c r="E219" s="10"/>
      <c r="F219" s="13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H219" s="14">
        <f t="shared" si="59"/>
        <v>0</v>
      </c>
      <c r="AJ219" s="15">
        <v>0</v>
      </c>
      <c r="AL219" s="19"/>
      <c r="AN219" s="17">
        <f t="shared" si="60"/>
        <v>0</v>
      </c>
      <c r="AP219" s="18"/>
      <c r="AQ219" s="10"/>
      <c r="AR219" s="17">
        <f t="shared" si="61"/>
        <v>0</v>
      </c>
      <c r="AT219" s="19"/>
      <c r="AV219" s="10"/>
      <c r="AW219" s="17">
        <f t="shared" si="62"/>
        <v>0</v>
      </c>
      <c r="AY219" s="13"/>
      <c r="AZ219" s="17">
        <f t="shared" si="63"/>
        <v>0</v>
      </c>
      <c r="BA219" s="20">
        <f t="shared" si="64"/>
        <v>0</v>
      </c>
      <c r="BC219" s="10">
        <f t="shared" si="54"/>
        <v>0</v>
      </c>
      <c r="BD219" s="17">
        <f t="shared" ref="BD219:BD220" si="68">IF(BC219="","",SUMIF($AT$5:$AT$220,"="&amp;BC219,$AZ$5:$AZ$220))</f>
        <v>0</v>
      </c>
      <c r="BE219" s="17">
        <f t="shared" ref="BE219:BE220" si="69">IF(AW219&gt;=0,IF(BD219&gt;=0,AW219-BD219,0),0)</f>
        <v>0</v>
      </c>
      <c r="BG219" s="18">
        <f t="shared" si="67"/>
        <v>0</v>
      </c>
      <c r="BH219" s="10">
        <f t="shared" si="65"/>
        <v>0</v>
      </c>
      <c r="BI219" s="17">
        <f t="shared" ref="BI219:BI220" si="70">IF(BG219="","",IF(BH219="",SUMIF($B$5:$B$220,"="&amp;BG219,$AZ$5:$AZ$220),SUMIFS($AZ$5:$AZ$220, $B$5:$B$220, "="&amp;BG219, $C$5:$C$220,"="&amp;BH219)))</f>
        <v>0</v>
      </c>
      <c r="BJ219" s="21" t="str">
        <f t="shared" si="66"/>
        <v>nenhuma</v>
      </c>
      <c r="BK219" s="17">
        <f t="shared" si="58"/>
        <v>0</v>
      </c>
    </row>
    <row r="220" spans="1:63" x14ac:dyDescent="0.25">
      <c r="A220" s="8">
        <v>216</v>
      </c>
      <c r="B220" s="10"/>
      <c r="C220" s="10"/>
      <c r="D220" s="10"/>
      <c r="E220" s="10"/>
      <c r="F220" s="13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H220" s="14">
        <f t="shared" si="59"/>
        <v>0</v>
      </c>
      <c r="AJ220" s="15">
        <v>0</v>
      </c>
      <c r="AL220" s="19"/>
      <c r="AN220" s="17">
        <f t="shared" si="60"/>
        <v>0</v>
      </c>
      <c r="AP220" s="18"/>
      <c r="AQ220" s="10"/>
      <c r="AR220" s="17">
        <f t="shared" si="61"/>
        <v>0</v>
      </c>
      <c r="AT220" s="19"/>
      <c r="AV220" s="10"/>
      <c r="AW220" s="17">
        <f t="shared" si="62"/>
        <v>0</v>
      </c>
      <c r="AY220" s="13"/>
      <c r="AZ220" s="17">
        <f t="shared" si="63"/>
        <v>0</v>
      </c>
      <c r="BA220" s="20">
        <f t="shared" si="64"/>
        <v>0</v>
      </c>
      <c r="BC220" s="10">
        <f t="shared" si="54"/>
        <v>0</v>
      </c>
      <c r="BD220" s="17">
        <f t="shared" si="68"/>
        <v>0</v>
      </c>
      <c r="BE220" s="17">
        <f t="shared" si="69"/>
        <v>0</v>
      </c>
      <c r="BG220" s="18">
        <f t="shared" si="67"/>
        <v>0</v>
      </c>
      <c r="BH220" s="10">
        <f t="shared" si="65"/>
        <v>0</v>
      </c>
      <c r="BI220" s="17">
        <f t="shared" si="70"/>
        <v>0</v>
      </c>
      <c r="BJ220" s="21" t="str">
        <f t="shared" si="66"/>
        <v>nenhuma</v>
      </c>
      <c r="BK220" s="17">
        <f t="shared" si="58"/>
        <v>0</v>
      </c>
    </row>
    <row r="221" spans="1:63" x14ac:dyDescent="0.25">
      <c r="A221" s="3" t="s">
        <v>51</v>
      </c>
      <c r="B221" s="28"/>
      <c r="C221" s="28"/>
      <c r="D221" s="28"/>
      <c r="E221" s="28"/>
      <c r="F221" s="17">
        <f>SUM(F5:F220)</f>
        <v>37739.730000000003</v>
      </c>
      <c r="G221" s="17">
        <f>SUM(G5:G220)</f>
        <v>1471</v>
      </c>
      <c r="H221" s="17">
        <f>SUM(H5:H220)</f>
        <v>2764.54</v>
      </c>
      <c r="I221" s="17">
        <f>SUM(I5:I220)</f>
        <v>49471.75</v>
      </c>
      <c r="J221" s="17"/>
      <c r="K221" s="17">
        <f>SUM(K5:K220)</f>
        <v>4067.3</v>
      </c>
      <c r="L221" s="17">
        <f>SUM(L5:L220)</f>
        <v>19580.919999999998</v>
      </c>
      <c r="M221" s="17"/>
      <c r="N221" s="17">
        <f>SUM(N5:N220)</f>
        <v>330.01</v>
      </c>
      <c r="O221" s="17"/>
      <c r="P221" s="17"/>
      <c r="Q221" s="17"/>
      <c r="R221" s="17"/>
      <c r="S221" s="17"/>
      <c r="T221" s="17"/>
      <c r="U221" s="17"/>
      <c r="V221" s="17"/>
      <c r="W221" s="17"/>
      <c r="X221" s="17"/>
      <c r="Y221" s="17"/>
      <c r="Z221" s="17"/>
      <c r="AA221" s="17"/>
      <c r="AB221" s="17"/>
      <c r="AC221" s="17"/>
      <c r="AD221" s="17"/>
      <c r="AE221" s="17"/>
      <c r="AF221" s="17"/>
      <c r="AN221" s="17">
        <f>SUM(AN5:AN220)</f>
        <v>108343.94999999998</v>
      </c>
      <c r="AR221" s="17">
        <f>SUM(AR5:AR220)</f>
        <v>108343.94999999998</v>
      </c>
      <c r="AW221" s="17">
        <f>SUM(AW5:AW220)</f>
        <v>0</v>
      </c>
      <c r="AZ221" s="17">
        <f>SUM(AZ5:AZ220)</f>
        <v>0</v>
      </c>
      <c r="BA221" s="17">
        <f>SUM(BA5:BA220)</f>
        <v>-108343.94999999998</v>
      </c>
      <c r="BD221" s="17">
        <f>SUM(BD5:BD220)</f>
        <v>0</v>
      </c>
      <c r="BE221" s="17">
        <f>SUM(BE5:BE220)</f>
        <v>0</v>
      </c>
      <c r="BI221" s="17">
        <f>SUM(BI5:BI220)</f>
        <v>0</v>
      </c>
      <c r="BK221" s="17">
        <f>SUM(BK5:BK220)</f>
        <v>108343.94999999998</v>
      </c>
    </row>
  </sheetData>
  <mergeCells count="32">
    <mergeCell ref="A2:AF2"/>
    <mergeCell ref="AH2:AH4"/>
    <mergeCell ref="AJ2:AJ4"/>
    <mergeCell ref="AL2:AL4"/>
    <mergeCell ref="AN2:AN4"/>
    <mergeCell ref="A3:A4"/>
    <mergeCell ref="B3:B4"/>
    <mergeCell ref="C3:C4"/>
    <mergeCell ref="D3:D4"/>
    <mergeCell ref="E3:E4"/>
    <mergeCell ref="F3:AF3"/>
    <mergeCell ref="AP2:AR2"/>
    <mergeCell ref="AT2:AT4"/>
    <mergeCell ref="AV2:AW2"/>
    <mergeCell ref="AY2:BE2"/>
    <mergeCell ref="BG2:BK2"/>
    <mergeCell ref="AP3:AP4"/>
    <mergeCell ref="AQ3:AQ4"/>
    <mergeCell ref="AR3:AR4"/>
    <mergeCell ref="AV3:AV4"/>
    <mergeCell ref="AW3:AW4"/>
    <mergeCell ref="AY3:AY4"/>
    <mergeCell ref="AZ3:AZ4"/>
    <mergeCell ref="BA3:BA4"/>
    <mergeCell ref="BC3:BC4"/>
    <mergeCell ref="BD3:BD4"/>
    <mergeCell ref="BE3:BE4"/>
    <mergeCell ref="BG3:BG4"/>
    <mergeCell ref="BH3:BH4"/>
    <mergeCell ref="BI3:BI4"/>
    <mergeCell ref="BJ3:BJ4"/>
    <mergeCell ref="BK3:BK4"/>
  </mergeCells>
  <conditionalFormatting sqref="BA5:BA220">
    <cfRule type="cellIs" dxfId="1" priority="2" operator="lessThan">
      <formula>0</formula>
    </cfRule>
    <cfRule type="cellIs" dxfId="0" priority="3" operator="greaterThan">
      <formula>0</formula>
    </cfRule>
  </conditionalFormatting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zoomScaleNormal="100" workbookViewId="0"/>
  </sheetViews>
  <sheetFormatPr defaultColWidth="8.7109375" defaultRowHeight="15" x14ac:dyDescent="0.2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zoomScaleNormal="100" workbookViewId="0"/>
  </sheetViews>
  <sheetFormatPr defaultColWidth="8.7109375" defaultRowHeight="15" x14ac:dyDescent="0.2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54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Plan1</vt:lpstr>
      <vt:lpstr>Plan2</vt:lpstr>
      <vt:lpstr>Plan3</vt:lpstr>
    </vt:vector>
  </TitlesOfParts>
  <Company>FFCLRP - USP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Eduardo</dc:creator>
  <dc:description/>
  <cp:lastModifiedBy>Marcelo</cp:lastModifiedBy>
  <cp:revision>12</cp:revision>
  <dcterms:created xsi:type="dcterms:W3CDTF">2015-01-15T12:38:10Z</dcterms:created>
  <dcterms:modified xsi:type="dcterms:W3CDTF">2026-04-30T17:27:35Z</dcterms:modified>
  <dc:language>pt-BR</dc:language>
</cp:coreProperties>
</file>