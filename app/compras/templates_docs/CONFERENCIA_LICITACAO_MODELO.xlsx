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  <sheet name="Plan2" sheetId="2" state="visible" r:id="rId4"/>
    <sheet name="Plan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<sst xmlns="http://schemas.openxmlformats.org/spreadsheetml/2006/main" count="34" uniqueCount="26">
  <si>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Pesquisa Prévia</t>
  </si>
  <si>
    <t xml:space="preserve">Média para compra</t>
  </si>
  <si>
    <t xml:space="preserve">Valor incluído na compra</t>
  </si>
  <si>
    <t xml:space="preserve">Quant. do item compra</t>
  </si>
  <si>
    <t xml:space="preserve">Valor total do item</t>
  </si>
  <si>
    <t xml:space="preserve">Reserva</t>
  </si>
  <si>
    <t xml:space="preserve">Item TR/Aviso/Edital</t>
  </si>
  <si>
    <t xml:space="preserve">Referencial</t>
  </si>
  <si>
    <t xml:space="preserve">Licitação</t>
  </si>
  <si>
    <t xml:space="preserve">Reserva final</t>
  </si>
  <si>
    <t xml:space="preserve">Item da Compra</t>
  </si>
  <si>
    <t xml:space="preserve">Grupo Orçament.</t>
  </si>
  <si>
    <t xml:space="preserve">Elemento despesa</t>
  </si>
  <si>
    <t xml:space="preserve">DFD</t>
  </si>
  <si>
    <t xml:space="preserve">CATMAT</t>
  </si>
  <si>
    <t xml:space="preserve">Fornecedores</t>
  </si>
  <si>
    <t xml:space="preserve">Valor</t>
  </si>
  <si>
    <t xml:space="preserve">Lote/Item</t>
  </si>
  <si>
    <t xml:space="preserve">Valor unitário</t>
  </si>
  <si>
    <t xml:space="preserve">Valor total final</t>
  </si>
  <si>
    <t xml:space="preserve">Diferença</t>
  </si>
  <si>
    <t xml:space="preserve">Lote</t>
  </si>
  <si>
    <t xml:space="preserve">Valor final</t>
  </si>
  <si>
    <t xml:space="preserve">Ação</t>
  </si>
  <si>
    <t xml:space="preserve">COMPRAS GOV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</si>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</sst>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_-* #,##0.00_-;\-* #,##0.00_-;_-* \-??_-;_-@_-"/>
    <numFmt numFmtId="167" formatCode="0.0000"/>
    <numFmt numFmtId="168" formatCode="_-* #,##0.0000_-;\-* #,##0.0000_-;_-* \-??_-;_-@_-"/>
    <numFmt numFmtId="169" formatCode="_-* #,##0_-;\-* #,##0_-;_-* \-??_-;_-@_-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000000"/>
      <name val="Arial Narrow"/>
      <family val="2"/>
      <charset val="1"/>
    </font>
    <font>
      <sz val="11"/>
      <color theme="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3" borderId="1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5" fillId="3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3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8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9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1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4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3" borderId="1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5" activeCellId="0" sqref="A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17.43"/>
    <col collapsed="false" customWidth="true" hidden="false" outlineLevel="0" max="5" min="3" style="1" width="10.43"/>
    <col collapsed="false" customWidth="true" hidden="false" outlineLevel="0" max="6" min="6" style="1" width="14.14"/>
    <col collapsed="false" customWidth="true" hidden="false" outlineLevel="0" max="7" min="7" style="1" width="10.86"/>
    <col collapsed="false" customWidth="true" hidden="false" outlineLevel="0" max="8" min="8" style="1" width="12.86"/>
    <col collapsed="false" customWidth="true" hidden="false" outlineLevel="0" max="10" min="9" style="1" width="11.86"/>
    <col collapsed="false" customWidth="true" hidden="false" outlineLevel="0" max="11" min="11" style="1" width="15.29"/>
    <col collapsed="false" customWidth="true" hidden="false" outlineLevel="0" max="13" min="12" style="1" width="10.29"/>
    <col collapsed="false" customWidth="true" hidden="false" outlineLevel="0" max="15" min="14" style="1" width="10.14"/>
    <col collapsed="false" customWidth="true" hidden="false" outlineLevel="0" max="16" min="16" style="1" width="9.29"/>
    <col collapsed="false" customWidth="true" hidden="false" outlineLevel="0" max="17" min="17" style="1" width="4"/>
    <col collapsed="false" customWidth="true" hidden="false" outlineLevel="0" max="18" min="18" style="1" width="11.29"/>
    <col collapsed="false" customWidth="true" hidden="false" outlineLevel="0" max="19" min="19" style="1" width="3.71"/>
    <col collapsed="false" customWidth="true" hidden="false" outlineLevel="0" max="20" min="20" style="1" width="12.57"/>
    <col collapsed="false" customWidth="true" hidden="false" outlineLevel="0" max="21" min="21" style="1" width="3.43"/>
    <col collapsed="false" customWidth="true" hidden="false" outlineLevel="0" max="23" min="23" style="1" width="3.71"/>
    <col collapsed="false" customWidth="true" hidden="false" outlineLevel="0" max="24" min="24" style="1" width="13"/>
    <col collapsed="false" customWidth="true" hidden="false" outlineLevel="0" max="25" min="25" style="1" width="4"/>
    <col collapsed="false" customWidth="true" hidden="false" outlineLevel="0" max="26" min="26" style="1" width="12.72"/>
    <col collapsed="false" customWidth="true" hidden="false" outlineLevel="0" max="27" min="27" style="1" width="10"/>
    <col collapsed="false" customWidth="true" hidden="false" outlineLevel="0" max="28" min="28" style="1" width="12"/>
    <col collapsed="false" customWidth="true" hidden="false" outlineLevel="0" max="29" min="29" style="1" width="3.57"/>
    <col collapsed="false" customWidth="true" hidden="false" outlineLevel="0" max="30" min="30" style="1" width="9.57"/>
    <col collapsed="false" customWidth="true" hidden="false" outlineLevel="0" max="31" min="31" style="1" width="3.57"/>
    <col collapsed="false" customWidth="true" hidden="false" outlineLevel="0" max="32" min="32" style="1" width="5.57"/>
    <col collapsed="false" customWidth="true" hidden="false" outlineLevel="0" max="33" min="33" style="1" width="11.29"/>
    <col collapsed="false" customWidth="true" hidden="false" outlineLevel="0" max="34" min="34" style="1" width="3.57"/>
    <col collapsed="false" customWidth="true" hidden="false" outlineLevel="0" max="35" min="35" style="1" width="11.57"/>
    <col collapsed="false" customWidth="true" hidden="false" outlineLevel="0" max="36" min="36" style="1" width="13.29"/>
    <col collapsed="false" customWidth="true" hidden="false" outlineLevel="0" max="37" min="37" style="1" width="11.86"/>
    <col collapsed="false" customWidth="true" hidden="false" outlineLevel="0" max="38" min="38" style="1" width="3.57"/>
    <col collapsed="false" customWidth="true" hidden="false" outlineLevel="0" max="39" min="39" style="1" width="4.86"/>
    <col collapsed="false" customWidth="true" hidden="false" outlineLevel="0" max="41" min="40" style="1" width="11.57"/>
    <col collapsed="false" customWidth="true" hidden="false" outlineLevel="0" max="42" min="42" style="1" width="3.86"/>
    <col collapsed="false" customWidth="true" hidden="false" outlineLevel="0" max="43" min="43" style="1" width="15.14"/>
    <col collapsed="false" customWidth="true" hidden="false" outlineLevel="0" max="44" min="44" style="1" width="10.29"/>
    <col collapsed="false" customWidth="true" hidden="false" outlineLevel="0" max="45" min="45" style="1" width="11.57"/>
    <col collapsed="false" customWidth="true" hidden="false" outlineLevel="0" max="47" min="47" style="1" width="11.57"/>
    <col collapsed="false" customWidth="true" hidden="false" outlineLevel="0" max="16384" min="16369" style="0" width="9.14"/>
  </cols>
  <sheetData>
    <row r="1" customFormat="false" ht="17.35" hidden="false" customHeight="false" outlineLevel="0" collapsed="false">
      <c r="X1" s="2"/>
      <c r="Y1" s="2"/>
      <c r="Z1" s="2" t="str">
        <f aca="false">IF(AB221&gt;=8840,"SCT - Verificar Valor Final","")</f>
        <v/>
      </c>
      <c r="AA1" s="2"/>
      <c r="AB1" s="2"/>
      <c r="AQ1" s="2" t="str">
        <f aca="false">IF(AS221&gt;=8840,"SCT - AVISAR JACQUE","")</f>
        <v/>
      </c>
    </row>
    <row r="2" customFormat="false" ht="1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R2" s="4" t="s">
        <v>1</v>
      </c>
      <c r="T2" s="4" t="s">
        <v>2</v>
      </c>
      <c r="V2" s="5" t="s">
        <v>3</v>
      </c>
      <c r="W2" s="6"/>
      <c r="X2" s="4" t="s">
        <v>4</v>
      </c>
      <c r="Z2" s="4" t="s">
        <v>5</v>
      </c>
      <c r="AA2" s="4"/>
      <c r="AB2" s="4"/>
      <c r="AD2" s="7" t="s">
        <v>6</v>
      </c>
      <c r="AF2" s="4" t="s">
        <v>7</v>
      </c>
      <c r="AG2" s="4"/>
      <c r="AI2" s="3" t="s">
        <v>8</v>
      </c>
      <c r="AJ2" s="3"/>
      <c r="AK2" s="3"/>
      <c r="AL2" s="3"/>
      <c r="AM2" s="3"/>
      <c r="AN2" s="3"/>
      <c r="AO2" s="3"/>
      <c r="AQ2" s="3" t="s">
        <v>9</v>
      </c>
      <c r="AR2" s="3"/>
      <c r="AS2" s="3"/>
      <c r="AT2" s="3"/>
      <c r="AU2" s="3"/>
    </row>
    <row r="3" customFormat="false" ht="15" hidden="false" customHeight="true" outlineLevel="0" collapsed="false">
      <c r="A3" s="4" t="s">
        <v>10</v>
      </c>
      <c r="B3" s="4" t="s">
        <v>11</v>
      </c>
      <c r="C3" s="4" t="s">
        <v>12</v>
      </c>
      <c r="D3" s="7" t="s">
        <v>13</v>
      </c>
      <c r="E3" s="7" t="s">
        <v>14</v>
      </c>
      <c r="F3" s="8" t="s">
        <v>15</v>
      </c>
      <c r="G3" s="8"/>
      <c r="H3" s="8"/>
      <c r="I3" s="8"/>
      <c r="J3" s="8"/>
      <c r="K3" s="8"/>
      <c r="L3" s="8"/>
      <c r="M3" s="8"/>
      <c r="N3" s="8"/>
      <c r="O3" s="8"/>
      <c r="P3" s="8"/>
      <c r="R3" s="4"/>
      <c r="T3" s="4"/>
      <c r="V3" s="5"/>
      <c r="W3" s="6"/>
      <c r="X3" s="4"/>
      <c r="Z3" s="4" t="s">
        <v>11</v>
      </c>
      <c r="AA3" s="4" t="s">
        <v>12</v>
      </c>
      <c r="AB3" s="9" t="s">
        <v>16</v>
      </c>
      <c r="AD3" s="7"/>
      <c r="AF3" s="7" t="s">
        <v>17</v>
      </c>
      <c r="AG3" s="7" t="s">
        <v>16</v>
      </c>
      <c r="AI3" s="10" t="s">
        <v>18</v>
      </c>
      <c r="AJ3" s="10" t="s">
        <v>19</v>
      </c>
      <c r="AK3" s="11" t="s">
        <v>20</v>
      </c>
      <c r="AM3" s="11" t="s">
        <v>21</v>
      </c>
      <c r="AN3" s="11" t="s">
        <v>22</v>
      </c>
      <c r="AO3" s="11" t="s">
        <v>20</v>
      </c>
      <c r="AQ3" s="4" t="s">
        <v>11</v>
      </c>
      <c r="AR3" s="4" t="s">
        <v>12</v>
      </c>
      <c r="AS3" s="9" t="s">
        <v>22</v>
      </c>
      <c r="AT3" s="9" t="s">
        <v>23</v>
      </c>
      <c r="AU3" s="9" t="s">
        <v>20</v>
      </c>
    </row>
    <row r="4" customFormat="false" ht="15" hidden="false" customHeight="false" outlineLevel="0" collapsed="false">
      <c r="A4" s="4"/>
      <c r="B4" s="4"/>
      <c r="C4" s="4"/>
      <c r="D4" s="7"/>
      <c r="E4" s="7"/>
      <c r="F4" s="3" t="s">
        <v>24</v>
      </c>
      <c r="G4" s="3"/>
      <c r="H4" s="3"/>
      <c r="I4" s="3"/>
      <c r="J4" s="3"/>
      <c r="K4" s="3"/>
      <c r="L4" s="12"/>
      <c r="M4" s="12"/>
      <c r="N4" s="3"/>
      <c r="O4" s="3"/>
      <c r="P4" s="3"/>
      <c r="R4" s="4"/>
      <c r="T4" s="4"/>
      <c r="U4" s="13"/>
      <c r="V4" s="5"/>
      <c r="W4" s="14"/>
      <c r="X4" s="4"/>
      <c r="Z4" s="4"/>
      <c r="AA4" s="4"/>
      <c r="AB4" s="9"/>
      <c r="AD4" s="7"/>
      <c r="AF4" s="7"/>
      <c r="AG4" s="7"/>
      <c r="AI4" s="10"/>
      <c r="AJ4" s="10"/>
      <c r="AK4" s="11"/>
      <c r="AM4" s="11"/>
      <c r="AN4" s="11"/>
      <c r="AO4" s="11"/>
      <c r="AQ4" s="4"/>
      <c r="AR4" s="4"/>
      <c r="AS4" s="9"/>
      <c r="AT4" s="9"/>
      <c r="AU4" s="9"/>
    </row>
    <row r="5" customFormat="false" ht="15" hidden="false" customHeight="false" outlineLevel="0" collapsed="false">
      <c r="A5" s="15" t="n">
        <v>1</v>
      </c>
      <c r="B5" s="16"/>
      <c r="C5" s="17"/>
      <c r="D5" s="17"/>
      <c r="E5" s="17"/>
      <c r="F5" s="18"/>
      <c r="G5" s="19"/>
      <c r="H5" s="19"/>
      <c r="I5" s="19"/>
      <c r="J5" s="20"/>
      <c r="K5" s="20"/>
      <c r="L5" s="20"/>
      <c r="M5" s="20"/>
      <c r="N5" s="20"/>
      <c r="O5" s="20"/>
      <c r="P5" s="20"/>
      <c r="R5" s="21" t="n">
        <f aca="false">IF(SUM(F5:P5)&gt;0,ROUND(AVERAGE(F5:P5),4),0)</f>
        <v>0</v>
      </c>
      <c r="T5" s="22"/>
      <c r="U5" s="23"/>
      <c r="V5" s="24"/>
      <c r="W5" s="25"/>
      <c r="X5" s="26" t="n">
        <f aca="false">IF(T5&gt;0,T5,R5)*V5</f>
        <v>0</v>
      </c>
      <c r="Z5" s="27" t="n">
        <f aca="false" t="array" ref="Z5:AA10">_xlfn.UNIQUE(B5:C216)</f>
        <v>0</v>
      </c>
      <c r="AA5" s="17" t="n">
        <v>0</v>
      </c>
      <c r="AB5" s="28" t="n">
        <f aca="false">IF(Z5="",0,IF(AA5="",SUMIF($B$5:$B$220,"="&amp;Z5,$X$5:$X$220),SUMIFS($X$5:$X$220, $B$5:$B$220, "="&amp;Z5, $C$5:$C$220,"="&amp;AA5)))</f>
        <v>0</v>
      </c>
      <c r="AD5" s="29"/>
      <c r="AF5" s="17"/>
      <c r="AG5" s="26" t="n">
        <f aca="false">IF(AF5="",0,SUMIF($AD$5:$AD$220,"="&amp;AF5,$X$5:$X$220))</f>
        <v>0</v>
      </c>
      <c r="AI5" s="20"/>
      <c r="AJ5" s="26" t="n">
        <f aca="false">AI5*V5</f>
        <v>0</v>
      </c>
      <c r="AK5" s="30" t="n">
        <f aca="false">IF(X5&gt;0,IF(AJ5&gt;=0,AJ5-X5,0),0)</f>
        <v>0</v>
      </c>
      <c r="AM5" s="17" t="n">
        <f aca="false">AF5</f>
        <v>0</v>
      </c>
      <c r="AN5" s="26" t="str">
        <f aca="false">IF(AM5="","",SUMIF($AD$5:$AD$220,"="&amp;AM5,$AJ$5:$AJ$220))</f>
        <v/>
      </c>
      <c r="AO5" s="26" t="e">
        <f aca="false">IF(AG5&gt;=0,IF(AN5&gt;=0,AG5-AN5,0),0)</f>
        <v>#VALUE!</v>
      </c>
      <c r="AQ5" s="27" t="n">
        <f aca="false">Z5</f>
        <v>0</v>
      </c>
      <c r="AR5" s="17" t="n">
        <f aca="false">AA5</f>
        <v>0</v>
      </c>
      <c r="AS5" s="26" t="str">
        <f aca="false">IF(AQ5="","",IF(AR5="",SUMIF($B$5:$B$220,"="&amp;AQ5,$AJ$5:$AJ$220),SUMIFS($AJ$5:$AJ$220, $B$5:$B$220, "="&amp;AQ5, $C$5:$C$220,"="&amp;AR5)))</f>
        <v/>
      </c>
      <c r="AT5" s="31" t="str">
        <f aca="false">IF(AU5&gt;0,"anular",IF(AU5&lt;0,"reforçar","nenhuma"))</f>
        <v>nenhuma</v>
      </c>
      <c r="AU5" s="26" t="n">
        <f aca="false">IF(AB5&gt;0,IF(AS5&gt;=0,AB5-AS5,0),0)</f>
        <v>0</v>
      </c>
    </row>
    <row r="6" customFormat="false" ht="15" hidden="false" customHeight="false" outlineLevel="0" collapsed="false">
      <c r="A6" s="15" t="n">
        <v>2</v>
      </c>
      <c r="B6" s="16"/>
      <c r="C6" s="17"/>
      <c r="D6" s="17"/>
      <c r="E6" s="17"/>
      <c r="F6" s="18"/>
      <c r="G6" s="20"/>
      <c r="H6" s="20"/>
      <c r="I6" s="19"/>
      <c r="J6" s="19"/>
      <c r="K6" s="20"/>
      <c r="L6" s="20"/>
      <c r="M6" s="20"/>
      <c r="N6" s="20"/>
      <c r="O6" s="20"/>
      <c r="P6" s="20"/>
      <c r="R6" s="21" t="n">
        <f aca="false">IF(SUM(F6:P6)&gt;0,ROUND(AVERAGE(F6:P6),4),0)</f>
        <v>0</v>
      </c>
      <c r="T6" s="22"/>
      <c r="U6" s="23"/>
      <c r="V6" s="24"/>
      <c r="W6" s="25"/>
      <c r="X6" s="26" t="n">
        <f aca="false">IF(T6&gt;0,T6,R6)*V6</f>
        <v>0</v>
      </c>
      <c r="Z6" s="27" t="n">
        <v>0</v>
      </c>
      <c r="AA6" s="17" t="n">
        <v>0</v>
      </c>
      <c r="AB6" s="28" t="n">
        <f aca="false">IF(Z6="",0,IF(AA6="",SUMIF($B$5:$B$220,"="&amp;Z6,$X$5:$X$220),SUMIFS($X$5:$X$220, $B$5:$B$220, "="&amp;Z6, $C$5:$C$220,"="&amp;AA6)))</f>
        <v>0</v>
      </c>
      <c r="AD6" s="29"/>
      <c r="AF6" s="17"/>
      <c r="AG6" s="26" t="n">
        <f aca="false">IF(AF6="",0,SUMIF($AD$5:$AD$220,"="&amp;AF6,$X$5:$X$220))</f>
        <v>0</v>
      </c>
      <c r="AI6" s="20"/>
      <c r="AJ6" s="26" t="n">
        <f aca="false">AI6*V6</f>
        <v>0</v>
      </c>
      <c r="AK6" s="30" t="n">
        <f aca="false">IF(X6&gt;0,IF(AJ6&gt;=0,AJ6-X6,0),0)</f>
        <v>0</v>
      </c>
      <c r="AM6" s="17" t="n">
        <f aca="false">AF6</f>
        <v>0</v>
      </c>
      <c r="AN6" s="26" t="str">
        <f aca="false">IF(AM6="","",SUMIF($AD$5:$AD$220,"="&amp;AM6,$AJ$5:$AJ$220))</f>
        <v/>
      </c>
      <c r="AO6" s="26" t="e">
        <f aca="false">IF(AG6&gt;=0,IF(AN6&gt;=0,AG6-AN6,0),0)</f>
        <v>#VALUE!</v>
      </c>
      <c r="AQ6" s="27" t="n">
        <f aca="false">Z6</f>
        <v>0</v>
      </c>
      <c r="AR6" s="17" t="n">
        <f aca="false">AA6</f>
        <v>0</v>
      </c>
      <c r="AS6" s="26" t="str">
        <f aca="false">IF(AQ6="","",IF(AR6="",SUMIF($B$5:$B$220,"="&amp;AQ6,$AJ$5:$AJ$220),SUMIFS($AJ$5:$AJ$220, $B$5:$B$220, "="&amp;AQ6, $C$5:$C$220,"="&amp;AR6)))</f>
        <v/>
      </c>
      <c r="AT6" s="31" t="str">
        <f aca="false">IF(AU6&gt;0,"anular",IF(AU6&lt;0,"reforçar","nenhuma"))</f>
        <v>nenhuma</v>
      </c>
      <c r="AU6" s="26" t="n">
        <f aca="false">IF(AB6&gt;0,IF(AS6&gt;=0,AB6-AS6,0),0)</f>
        <v>0</v>
      </c>
    </row>
    <row r="7" customFormat="false" ht="15" hidden="false" customHeight="false" outlineLevel="0" collapsed="false">
      <c r="A7" s="15" t="n">
        <v>3</v>
      </c>
      <c r="B7" s="16"/>
      <c r="C7" s="32"/>
      <c r="D7" s="17"/>
      <c r="E7" s="17"/>
      <c r="F7" s="18"/>
      <c r="G7" s="20"/>
      <c r="H7" s="20"/>
      <c r="I7" s="19"/>
      <c r="J7" s="20"/>
      <c r="K7" s="19"/>
      <c r="L7" s="20"/>
      <c r="M7" s="20"/>
      <c r="N7" s="20"/>
      <c r="O7" s="20"/>
      <c r="P7" s="20"/>
      <c r="R7" s="21" t="n">
        <f aca="false">IF(SUM(F7:P7)&gt;0,ROUND(AVERAGE(F7:P7),4),0)</f>
        <v>0</v>
      </c>
      <c r="T7" s="22"/>
      <c r="U7" s="23"/>
      <c r="V7" s="24"/>
      <c r="W7" s="25"/>
      <c r="X7" s="26" t="n">
        <f aca="false">IF(T7&gt;0,T7,R7)*V7</f>
        <v>0</v>
      </c>
      <c r="Z7" s="33" t="n">
        <v>0</v>
      </c>
      <c r="AA7" s="32" t="n">
        <v>0</v>
      </c>
      <c r="AB7" s="34" t="n">
        <f aca="false">IF(Z7="",0,IF(AA7="",SUMIF($B$5:$B$220,"="&amp;Z7,$X$5:$X$220),SUMIFS($X$5:$X$220, $B$5:$B$220, "="&amp;Z7, $C$5:$C$220,"="&amp;AA7)))</f>
        <v>0</v>
      </c>
      <c r="AD7" s="29"/>
      <c r="AF7" s="17"/>
      <c r="AG7" s="26" t="n">
        <f aca="false">IF(AF7="",0,SUMIF($AD$5:$AD$220,"="&amp;AF7,$X$5:$X$220))</f>
        <v>0</v>
      </c>
      <c r="AI7" s="20"/>
      <c r="AJ7" s="26" t="n">
        <f aca="false">AI7*V7</f>
        <v>0</v>
      </c>
      <c r="AK7" s="30" t="n">
        <f aca="false">IF(X7&gt;0,IF(AJ7&gt;=0,AJ7-X7,0),0)</f>
        <v>0</v>
      </c>
      <c r="AM7" s="17" t="n">
        <f aca="false">AF7</f>
        <v>0</v>
      </c>
      <c r="AN7" s="26" t="str">
        <f aca="false">IF(AM7="","",SUMIF($AD$5:$AD$220,"="&amp;AM7,$AJ$5:$AJ$220))</f>
        <v/>
      </c>
      <c r="AO7" s="26" t="e">
        <f aca="false">IF(AG7&gt;=0,IF(AN7&gt;=0,AG7-AN7,0),0)</f>
        <v>#VALUE!</v>
      </c>
      <c r="AQ7" s="27" t="n">
        <f aca="false">Z7</f>
        <v>0</v>
      </c>
      <c r="AR7" s="17" t="n">
        <f aca="false">AA7</f>
        <v>0</v>
      </c>
      <c r="AS7" s="26" t="str">
        <f aca="false">IF(AQ7="","",IF(AR7="",SUMIF($B$5:$B$220,"="&amp;AQ7,$AJ$5:$AJ$220),SUMIFS($AJ$5:$AJ$220, $B$5:$B$220, "="&amp;AQ7, $C$5:$C$220,"="&amp;AR7)))</f>
        <v/>
      </c>
      <c r="AT7" s="31" t="str">
        <f aca="false">IF(AU7&gt;0,"anular",IF(AU7&lt;0,"reforçar","nenhuma"))</f>
        <v>nenhuma</v>
      </c>
      <c r="AU7" s="26" t="n">
        <f aca="false">IF(AB7&gt;0,IF(AS7&gt;=0,AB7-AS7,0),0)</f>
        <v>0</v>
      </c>
    </row>
    <row r="8" customFormat="false" ht="15" hidden="false" customHeight="false" outlineLevel="0" collapsed="false">
      <c r="A8" s="15" t="n">
        <v>4</v>
      </c>
      <c r="B8" s="27"/>
      <c r="C8" s="17"/>
      <c r="D8" s="17"/>
      <c r="E8" s="17"/>
      <c r="F8" s="18"/>
      <c r="G8" s="20"/>
      <c r="H8" s="20"/>
      <c r="I8" s="19"/>
      <c r="J8" s="19"/>
      <c r="K8" s="20"/>
      <c r="L8" s="20"/>
      <c r="M8" s="20"/>
      <c r="N8" s="20"/>
      <c r="O8" s="20"/>
      <c r="P8" s="20"/>
      <c r="R8" s="21" t="n">
        <f aca="false">IF(SUM(F8:P8)&gt;0,ROUND(AVERAGE(F8:P8),4),0)</f>
        <v>0</v>
      </c>
      <c r="T8" s="22"/>
      <c r="U8" s="23"/>
      <c r="V8" s="24"/>
      <c r="W8" s="25"/>
      <c r="X8" s="26" t="n">
        <f aca="false">IF(T8&gt;0,T8,R8)*V8</f>
        <v>0</v>
      </c>
      <c r="Z8" s="27" t="n">
        <v>0</v>
      </c>
      <c r="AA8" s="17" t="n">
        <v>0</v>
      </c>
      <c r="AB8" s="28" t="n">
        <f aca="false">IF(Z8="",0,IF(AA8="",SUMIF($B$5:$B$220,"="&amp;Z8,$X$5:$X$220),SUMIFS($X$5:$X$220, $B$5:$B$220, "="&amp;Z8, $C$5:$C$220,"="&amp;AA8)))</f>
        <v>0</v>
      </c>
      <c r="AD8" s="29"/>
      <c r="AF8" s="17"/>
      <c r="AG8" s="26" t="n">
        <f aca="false">IF(AF8="",0,SUMIF($AD$5:$AD$220,"="&amp;AF8,$X$5:$X$220))</f>
        <v>0</v>
      </c>
      <c r="AI8" s="20"/>
      <c r="AJ8" s="26" t="n">
        <f aca="false">AI8*V8</f>
        <v>0</v>
      </c>
      <c r="AK8" s="30" t="n">
        <f aca="false">IF(X8&gt;0,IF(AJ8&gt;=0,AJ8-X8,0),0)</f>
        <v>0</v>
      </c>
      <c r="AM8" s="17" t="n">
        <f aca="false">AF8</f>
        <v>0</v>
      </c>
      <c r="AN8" s="26" t="str">
        <f aca="false">IF(AM8="","",SUMIF($AD$5:$AD$220,"="&amp;AM8,$AJ$5:$AJ$220))</f>
        <v/>
      </c>
      <c r="AO8" s="26" t="e">
        <f aca="false">IF(AG8&gt;=0,IF(AN8&gt;=0,AG8-AN8,0),0)</f>
        <v>#VALUE!</v>
      </c>
      <c r="AQ8" s="27" t="n">
        <f aca="false">Z8</f>
        <v>0</v>
      </c>
      <c r="AR8" s="17" t="n">
        <f aca="false">AA8</f>
        <v>0</v>
      </c>
      <c r="AS8" s="26" t="str">
        <f aca="false">IF(AQ8="","",IF(AR8="",SUMIF($B$5:$B$220,"="&amp;AQ8,$AJ$5:$AJ$220),SUMIFS($AJ$5:$AJ$220, $B$5:$B$220, "="&amp;AQ8, $C$5:$C$220,"="&amp;AR8)))</f>
        <v/>
      </c>
      <c r="AT8" s="31" t="str">
        <f aca="false">IF(AU8&gt;0,"anular",IF(AU8&lt;0,"reforçar","nenhuma"))</f>
        <v>nenhuma</v>
      </c>
      <c r="AU8" s="26" t="n">
        <f aca="false">IF(AB8&gt;0,IF(AS8&gt;=0,AB8-AS8,0),0)</f>
        <v>0</v>
      </c>
    </row>
    <row r="9" customFormat="false" ht="15" hidden="false" customHeight="false" outlineLevel="0" collapsed="false">
      <c r="A9" s="15" t="n">
        <v>5</v>
      </c>
      <c r="B9" s="27"/>
      <c r="C9" s="17"/>
      <c r="D9" s="17"/>
      <c r="E9" s="17"/>
      <c r="F9" s="19"/>
      <c r="G9" s="20"/>
      <c r="H9" s="20"/>
      <c r="I9" s="19"/>
      <c r="J9" s="35"/>
      <c r="K9" s="20"/>
      <c r="L9" s="19"/>
      <c r="M9" s="19"/>
      <c r="N9" s="20"/>
      <c r="O9" s="20"/>
      <c r="P9" s="20"/>
      <c r="R9" s="36" t="n">
        <f aca="false">IF(SUM(F9:P9)&gt;0,ROUND(AVERAGE(F9:P9),4),0)</f>
        <v>0</v>
      </c>
      <c r="T9" s="22"/>
      <c r="U9" s="23"/>
      <c r="V9" s="24"/>
      <c r="W9" s="25"/>
      <c r="X9" s="26" t="n">
        <f aca="false">IF(T9&gt;0,T9,R9)*V9</f>
        <v>0</v>
      </c>
      <c r="Z9" s="27" t="n">
        <v>0</v>
      </c>
      <c r="AA9" s="17" t="n">
        <v>0</v>
      </c>
      <c r="AB9" s="28" t="n">
        <f aca="false">IF(Z9="",0,IF(AA9="",SUMIF($B$5:$B$220,"="&amp;Z9,$X$5:$X$220),SUMIFS($X$5:$X$220, $B$5:$B$220, "="&amp;Z9, $C$5:$C$220,"="&amp;AA9)))</f>
        <v>0</v>
      </c>
      <c r="AD9" s="29"/>
      <c r="AF9" s="17"/>
      <c r="AG9" s="26" t="n">
        <f aca="false">IF(AF9="",0,SUMIF($AD$5:$AD$220,"="&amp;AF9,$X$5:$X$220))</f>
        <v>0</v>
      </c>
      <c r="AI9" s="20"/>
      <c r="AJ9" s="26" t="n">
        <f aca="false">AI9*V9</f>
        <v>0</v>
      </c>
      <c r="AK9" s="30" t="n">
        <f aca="false">IF(X9&gt;0,IF(AJ9&gt;=0,AJ9-X9,0),0)</f>
        <v>0</v>
      </c>
      <c r="AM9" s="17" t="n">
        <f aca="false">AF9</f>
        <v>0</v>
      </c>
      <c r="AN9" s="26" t="str">
        <f aca="false">IF(AM9="","",SUMIF($AD$5:$AD$220,"="&amp;AM9,$AJ$5:$AJ$220))</f>
        <v/>
      </c>
      <c r="AO9" s="26" t="e">
        <f aca="false">IF(AG9&gt;=0,IF(AN9&gt;=0,AG9-AN9,0),0)</f>
        <v>#VALUE!</v>
      </c>
      <c r="AQ9" s="27" t="n">
        <f aca="false">Z9</f>
        <v>0</v>
      </c>
      <c r="AR9" s="17" t="n">
        <f aca="false">AA9</f>
        <v>0</v>
      </c>
      <c r="AS9" s="26" t="str">
        <f aca="false">IF(AQ9="","",IF(AR9="",SUMIF($B$5:$B$220,"="&amp;AQ9,$AJ$5:$AJ$220),SUMIFS($AJ$5:$AJ$220, $B$5:$B$220, "="&amp;AQ9, $C$5:$C$220,"="&amp;AR9)))</f>
        <v/>
      </c>
      <c r="AT9" s="31" t="str">
        <f aca="false">IF(AU9&gt;0,"anular",IF(AU9&lt;0,"reforçar","nenhuma"))</f>
        <v>nenhuma</v>
      </c>
      <c r="AU9" s="26" t="n">
        <f aca="false">IF(AB9&gt;0,IF(AS9&gt;=0,AB9-AS9,0),0)</f>
        <v>0</v>
      </c>
    </row>
    <row r="10" customFormat="false" ht="15" hidden="false" customHeight="false" outlineLevel="0" collapsed="false">
      <c r="A10" s="15" t="n">
        <v>6</v>
      </c>
      <c r="B10" s="27"/>
      <c r="C10" s="17"/>
      <c r="D10" s="17"/>
      <c r="E10" s="17"/>
      <c r="F10" s="19"/>
      <c r="G10" s="20"/>
      <c r="H10" s="20"/>
      <c r="I10" s="19"/>
      <c r="J10" s="20"/>
      <c r="K10" s="19"/>
      <c r="L10" s="19"/>
      <c r="M10" s="19"/>
      <c r="N10" s="20"/>
      <c r="O10" s="20"/>
      <c r="P10" s="20"/>
      <c r="R10" s="21" t="n">
        <f aca="false">IF(SUM(F10:P10)&gt;0,ROUND(AVERAGE(F10:P10),4),0)</f>
        <v>0</v>
      </c>
      <c r="T10" s="22"/>
      <c r="U10" s="23"/>
      <c r="V10" s="24"/>
      <c r="W10" s="25"/>
      <c r="X10" s="26" t="n">
        <f aca="false">IF(T10&gt;0,T10,R10)*V10</f>
        <v>0</v>
      </c>
      <c r="Z10" s="27" t="n">
        <v>0</v>
      </c>
      <c r="AA10" s="17" t="n">
        <v>0</v>
      </c>
      <c r="AB10" s="26" t="n">
        <f aca="false">IF(Z10="",0,IF(AA10="",SUMIF($B$5:$B$220,"="&amp;Z10,$X$5:$X$220),SUMIFS($X$5:$X$220, $B$5:$B$220, "="&amp;Z10, $C$5:$C$220,"="&amp;AA10)))</f>
        <v>0</v>
      </c>
      <c r="AD10" s="29"/>
      <c r="AF10" s="17"/>
      <c r="AG10" s="26" t="n">
        <f aca="false">IF(AF10="",0,SUMIF($AD$5:$AD$220,"="&amp;AF10,$X$5:$X$220))</f>
        <v>0</v>
      </c>
      <c r="AI10" s="20"/>
      <c r="AJ10" s="26" t="n">
        <f aca="false">AI10*V10</f>
        <v>0</v>
      </c>
      <c r="AK10" s="30" t="n">
        <f aca="false">IF(X10&gt;0,IF(AJ10&gt;=0,AJ10-X10,0),0)</f>
        <v>0</v>
      </c>
      <c r="AM10" s="17" t="n">
        <f aca="false">AF10</f>
        <v>0</v>
      </c>
      <c r="AN10" s="26" t="str">
        <f aca="false">IF(AM10="","",SUMIF($AD$5:$AD$220,"="&amp;AM10,$AJ$5:$AJ$220))</f>
        <v/>
      </c>
      <c r="AO10" s="26" t="e">
        <f aca="false">IF(AG10&gt;=0,IF(AN10&gt;=0,AG10-AN10,0),0)</f>
        <v>#VALUE!</v>
      </c>
      <c r="AQ10" s="27" t="n">
        <f aca="false">Z10</f>
        <v>0</v>
      </c>
      <c r="AR10" s="17" t="n">
        <f aca="false">AA10</f>
        <v>0</v>
      </c>
      <c r="AS10" s="26" t="str">
        <f aca="false">IF(AQ10="","",IF(AR10="",SUMIF($B$5:$B$220,"="&amp;AQ10,$AJ$5:$AJ$220),SUMIFS($AJ$5:$AJ$220, $B$5:$B$220, "="&amp;AQ10, $C$5:$C$220,"="&amp;AR10)))</f>
        <v/>
      </c>
      <c r="AT10" s="31" t="str">
        <f aca="false">IF(AU10&gt;0,"anular",IF(AU10&lt;0,"reforçar","nenhuma"))</f>
        <v>nenhuma</v>
      </c>
      <c r="AU10" s="26" t="n">
        <f aca="false">IF(AB10&gt;0,IF(AS10&gt;=0,AB10-AS10,0),0)</f>
        <v>0</v>
      </c>
    </row>
    <row r="11" customFormat="false" ht="15" hidden="false" customHeight="false" outlineLevel="0" collapsed="false">
      <c r="A11" s="15" t="n">
        <v>7</v>
      </c>
      <c r="B11" s="27"/>
      <c r="C11" s="17"/>
      <c r="D11" s="17"/>
      <c r="E11" s="17"/>
      <c r="F11" s="19"/>
      <c r="G11" s="20"/>
      <c r="H11" s="20"/>
      <c r="I11" s="19"/>
      <c r="J11" s="20"/>
      <c r="K11" s="20"/>
      <c r="L11" s="20"/>
      <c r="M11" s="20"/>
      <c r="N11" s="19"/>
      <c r="O11" s="20"/>
      <c r="P11" s="20"/>
      <c r="R11" s="21" t="n">
        <f aca="false">IF(SUM(F11:P11)&gt;0,ROUND(AVERAGE(F11:P11),4),0)</f>
        <v>0</v>
      </c>
      <c r="T11" s="22"/>
      <c r="U11" s="23"/>
      <c r="V11" s="24"/>
      <c r="W11" s="25"/>
      <c r="X11" s="26" t="n">
        <f aca="false">IF(T11&gt;0,T11,R11)*V11</f>
        <v>0</v>
      </c>
      <c r="Z11" s="27"/>
      <c r="AA11" s="17"/>
      <c r="AB11" s="26" t="n">
        <f aca="false">IF(Z11="",0,IF(AA11="",SUMIF($B$5:$B$220,"="&amp;Z11,$X$5:$X$220),SUMIFS($X$5:$X$220, $B$5:$B$220, "="&amp;Z11, $C$5:$C$220,"="&amp;AA11)))</f>
        <v>0</v>
      </c>
      <c r="AD11" s="29"/>
      <c r="AF11" s="17"/>
      <c r="AG11" s="26" t="n">
        <f aca="false">IF(AF11="",0,SUMIF($AD$5:$AD$220,"="&amp;AF11,$X$5:$X$220))</f>
        <v>0</v>
      </c>
      <c r="AI11" s="20"/>
      <c r="AJ11" s="26" t="n">
        <f aca="false">AI11*V11</f>
        <v>0</v>
      </c>
      <c r="AK11" s="30" t="n">
        <f aca="false">IF(X11&gt;0,IF(AJ11&gt;=0,AJ11-X11,0),0)</f>
        <v>0</v>
      </c>
      <c r="AM11" s="17" t="n">
        <f aca="false">AF11</f>
        <v>0</v>
      </c>
      <c r="AN11" s="26" t="str">
        <f aca="false">IF(AM11="","",SUMIF($AD$5:$AD$220,"="&amp;AM11,$AJ$5:$AJ$220))</f>
        <v/>
      </c>
      <c r="AO11" s="26" t="e">
        <f aca="false">IF(AG11&gt;=0,IF(AN11&gt;=0,AG11-AN11,0),0)</f>
        <v>#VALUE!</v>
      </c>
      <c r="AQ11" s="27" t="n">
        <f aca="false">Z11</f>
        <v>0</v>
      </c>
      <c r="AR11" s="17" t="n">
        <f aca="false">AA11</f>
        <v>0</v>
      </c>
      <c r="AS11" s="26" t="str">
        <f aca="false">IF(AQ11="","",IF(AR11="",SUMIF($B$5:$B$220,"="&amp;AQ11,$AJ$5:$AJ$220),SUMIFS($AJ$5:$AJ$220, $B$5:$B$220, "="&amp;AQ11, $C$5:$C$220,"="&amp;AR11)))</f>
        <v/>
      </c>
      <c r="AT11" s="31" t="str">
        <f aca="false">IF(AU11&gt;0,"anular",IF(AU11&lt;0,"reforçar","nenhuma"))</f>
        <v>nenhuma</v>
      </c>
      <c r="AU11" s="26" t="n">
        <f aca="false">IF(AB11&gt;0,IF(AS11&gt;=0,AB11-AS11,0),0)</f>
        <v>0</v>
      </c>
    </row>
    <row r="12" customFormat="false" ht="15" hidden="false" customHeight="false" outlineLevel="0" collapsed="false">
      <c r="A12" s="15" t="n">
        <v>8</v>
      </c>
      <c r="B12" s="27"/>
      <c r="C12" s="17"/>
      <c r="D12" s="17"/>
      <c r="E12" s="17"/>
      <c r="F12" s="18"/>
      <c r="G12" s="20"/>
      <c r="H12" s="20"/>
      <c r="I12" s="19"/>
      <c r="J12" s="20"/>
      <c r="K12" s="19"/>
      <c r="L12" s="20"/>
      <c r="M12" s="20"/>
      <c r="N12" s="20"/>
      <c r="O12" s="20"/>
      <c r="P12" s="20"/>
      <c r="R12" s="21" t="n">
        <f aca="false">IF(SUM(F12:P12)&gt;0,ROUND(AVERAGE(F12:P12),4),0)</f>
        <v>0</v>
      </c>
      <c r="T12" s="22"/>
      <c r="U12" s="23"/>
      <c r="V12" s="24"/>
      <c r="W12" s="25"/>
      <c r="X12" s="26" t="n">
        <f aca="false">IF(T12&gt;0,T12,R12)*V12</f>
        <v>0</v>
      </c>
      <c r="Z12" s="27"/>
      <c r="AA12" s="17"/>
      <c r="AB12" s="26" t="n">
        <f aca="false">IF(Z12="",0,IF(AA12="",SUMIF($B$5:$B$220,"="&amp;Z12,$X$5:$X$220),SUMIFS($X$5:$X$220, $B$5:$B$220, "="&amp;Z12, $C$5:$C$220,"="&amp;AA12)))</f>
        <v>0</v>
      </c>
      <c r="AD12" s="29"/>
      <c r="AF12" s="17"/>
      <c r="AG12" s="26" t="n">
        <f aca="false">IF(AF12="",0,SUMIF($AD$5:$AD$220,"="&amp;AF12,$X$5:$X$220))</f>
        <v>0</v>
      </c>
      <c r="AI12" s="20"/>
      <c r="AJ12" s="26" t="n">
        <f aca="false">AI12*V12</f>
        <v>0</v>
      </c>
      <c r="AK12" s="30" t="n">
        <f aca="false">IF(X12&gt;0,IF(AJ12&gt;=0,AJ12-X12,0),0)</f>
        <v>0</v>
      </c>
      <c r="AM12" s="17" t="n">
        <f aca="false">AF12</f>
        <v>0</v>
      </c>
      <c r="AN12" s="26" t="str">
        <f aca="false">IF(AM12="","",SUMIF($AD$5:$AD$220,"="&amp;AM12,$AJ$5:$AJ$220))</f>
        <v/>
      </c>
      <c r="AO12" s="26" t="e">
        <f aca="false">IF(AG12&gt;=0,IF(AN12&gt;=0,AG12-AN12,0),0)</f>
        <v>#VALUE!</v>
      </c>
      <c r="AQ12" s="27" t="n">
        <f aca="false">Z12</f>
        <v>0</v>
      </c>
      <c r="AR12" s="17" t="n">
        <f aca="false">AA12</f>
        <v>0</v>
      </c>
      <c r="AS12" s="26" t="str">
        <f aca="false">IF(AQ12="","",IF(AR12="",SUMIF($B$5:$B$220,"="&amp;AQ12,$AJ$5:$AJ$220),SUMIFS($AJ$5:$AJ$220, $B$5:$B$220, "="&amp;AQ12, $C$5:$C$220,"="&amp;AR12)))</f>
        <v/>
      </c>
      <c r="AT12" s="31" t="str">
        <f aca="false">IF(AU12&gt;0,"anular",IF(AU12&lt;0,"reforçar","nenhuma"))</f>
        <v>nenhuma</v>
      </c>
      <c r="AU12" s="26" t="n">
        <f aca="false">IF(AB12&gt;0,IF(AS12&gt;=0,AB12-AS12,0),0)</f>
        <v>0</v>
      </c>
    </row>
    <row r="13" customFormat="false" ht="15" hidden="false" customHeight="false" outlineLevel="0" collapsed="false">
      <c r="A13" s="15" t="n">
        <v>9</v>
      </c>
      <c r="B13" s="27"/>
      <c r="C13" s="17"/>
      <c r="D13" s="17"/>
      <c r="E13" s="17"/>
      <c r="F13" s="18"/>
      <c r="G13" s="20"/>
      <c r="H13" s="20"/>
      <c r="I13" s="19"/>
      <c r="J13" s="20"/>
      <c r="K13" s="19"/>
      <c r="L13" s="20"/>
      <c r="M13" s="20"/>
      <c r="N13" s="20"/>
      <c r="O13" s="20"/>
      <c r="P13" s="20"/>
      <c r="R13" s="21" t="n">
        <f aca="false">IF(SUM(F13:P13)&gt;0,ROUND(AVERAGE(F13:P13),4),0)</f>
        <v>0</v>
      </c>
      <c r="T13" s="22"/>
      <c r="U13" s="23"/>
      <c r="V13" s="24"/>
      <c r="W13" s="25"/>
      <c r="X13" s="26" t="n">
        <f aca="false">IF(T13&gt;0,T13,R13)*V13</f>
        <v>0</v>
      </c>
      <c r="Z13" s="27"/>
      <c r="AA13" s="17"/>
      <c r="AB13" s="26" t="n">
        <f aca="false">IF(Z13="",0,IF(AA13="",SUMIF($B$5:$B$220,"="&amp;Z13,$X$5:$X$220),SUMIFS($X$5:$X$220, $B$5:$B$220, "="&amp;Z13, $C$5:$C$220,"="&amp;AA13)))</f>
        <v>0</v>
      </c>
      <c r="AD13" s="29"/>
      <c r="AF13" s="17"/>
      <c r="AG13" s="26" t="n">
        <f aca="false">IF(AF13="",0,SUMIF($AD$5:$AD$220,"="&amp;AF13,$X$5:$X$220))</f>
        <v>0</v>
      </c>
      <c r="AI13" s="20"/>
      <c r="AJ13" s="26" t="n">
        <f aca="false">AI13*V13</f>
        <v>0</v>
      </c>
      <c r="AK13" s="30" t="n">
        <f aca="false">IF(X13&gt;0,IF(AJ13&gt;=0,AJ13-X13,0),0)</f>
        <v>0</v>
      </c>
      <c r="AM13" s="17" t="n">
        <f aca="false">AF13</f>
        <v>0</v>
      </c>
      <c r="AN13" s="26" t="str">
        <f aca="false">IF(AM13="","",SUMIF($AD$5:$AD$220,"="&amp;AM13,$AJ$5:$AJ$220))</f>
        <v/>
      </c>
      <c r="AO13" s="26" t="e">
        <f aca="false">IF(AG13&gt;=0,IF(AN13&gt;=0,AG13-AN13,0),0)</f>
        <v>#VALUE!</v>
      </c>
      <c r="AQ13" s="27" t="n">
        <f aca="false">Z13</f>
        <v>0</v>
      </c>
      <c r="AR13" s="17" t="n">
        <f aca="false">AA13</f>
        <v>0</v>
      </c>
      <c r="AS13" s="26" t="str">
        <f aca="false">IF(AQ13="","",IF(AR13="",SUMIF($B$5:$B$220,"="&amp;AQ13,$AJ$5:$AJ$220),SUMIFS($AJ$5:$AJ$220, $B$5:$B$220, "="&amp;AQ13, $C$5:$C$220,"="&amp;AR13)))</f>
        <v/>
      </c>
      <c r="AT13" s="31" t="str">
        <f aca="false">IF(AU13&gt;0,"anular",IF(AU13&lt;0,"reforçar","nenhuma"))</f>
        <v>nenhuma</v>
      </c>
      <c r="AU13" s="26" t="n">
        <f aca="false">IF(AB13&gt;0,IF(AS13&gt;=0,AB13-AS13,0),0)</f>
        <v>0</v>
      </c>
    </row>
    <row r="14" customFormat="false" ht="15" hidden="false" customHeight="false" outlineLevel="0" collapsed="false">
      <c r="A14" s="15" t="n">
        <v>10</v>
      </c>
      <c r="B14" s="27"/>
      <c r="C14" s="17"/>
      <c r="D14" s="17"/>
      <c r="E14" s="17"/>
      <c r="F14" s="18"/>
      <c r="G14" s="20"/>
      <c r="H14" s="20"/>
      <c r="I14" s="19"/>
      <c r="J14" s="20"/>
      <c r="K14" s="20"/>
      <c r="L14" s="19"/>
      <c r="M14" s="19"/>
      <c r="N14" s="20"/>
      <c r="O14" s="20"/>
      <c r="P14" s="20"/>
      <c r="R14" s="21" t="n">
        <f aca="false">IF(SUM(F14:P14)&gt;0,ROUND(AVERAGE(F14:P14),4),0)</f>
        <v>0</v>
      </c>
      <c r="T14" s="22"/>
      <c r="U14" s="23"/>
      <c r="V14" s="24"/>
      <c r="W14" s="25"/>
      <c r="X14" s="26" t="n">
        <f aca="false">IF(T14&gt;0,T14,R14)*V14</f>
        <v>0</v>
      </c>
      <c r="Z14" s="27"/>
      <c r="AA14" s="17"/>
      <c r="AB14" s="26" t="n">
        <f aca="false">IF(Z14="",0,IF(AA14="",SUMIF($B$5:$B$220,"="&amp;Z14,$X$5:$X$220),SUMIFS($X$5:$X$220, $B$5:$B$220, "="&amp;Z14, $C$5:$C$220,"="&amp;AA14)))</f>
        <v>0</v>
      </c>
      <c r="AD14" s="29"/>
      <c r="AF14" s="17"/>
      <c r="AG14" s="26" t="n">
        <f aca="false">IF(AF14="",0,SUMIF($AD$5:$AD$220,"="&amp;AF14,$X$5:$X$220))</f>
        <v>0</v>
      </c>
      <c r="AI14" s="20"/>
      <c r="AJ14" s="26" t="n">
        <f aca="false">AI14*V14</f>
        <v>0</v>
      </c>
      <c r="AK14" s="30" t="n">
        <f aca="false">IF(X14&gt;0,IF(AJ14&gt;=0,AJ14-X14,0),0)</f>
        <v>0</v>
      </c>
      <c r="AM14" s="17" t="n">
        <f aca="false">AF14</f>
        <v>0</v>
      </c>
      <c r="AN14" s="26" t="str">
        <f aca="false">IF(AM14="","",SUMIF($AD$5:$AD$220,"="&amp;AM14,$AJ$5:$AJ$220))</f>
        <v/>
      </c>
      <c r="AO14" s="26" t="e">
        <f aca="false">IF(AG14&gt;=0,IF(AN14&gt;=0,AG14-AN14,0),0)</f>
        <v>#VALUE!</v>
      </c>
      <c r="AQ14" s="27" t="n">
        <f aca="false">Z14</f>
        <v>0</v>
      </c>
      <c r="AR14" s="17" t="n">
        <f aca="false">AA14</f>
        <v>0</v>
      </c>
      <c r="AS14" s="26" t="str">
        <f aca="false">IF(AQ14="","",IF(AR14="",SUMIF($B$5:$B$220,"="&amp;AQ14,$AJ$5:$AJ$220),SUMIFS($AJ$5:$AJ$220, $B$5:$B$220, "="&amp;AQ14, $C$5:$C$220,"="&amp;AR14)))</f>
        <v/>
      </c>
      <c r="AT14" s="31" t="str">
        <f aca="false">IF(AU14&gt;0,"anular",IF(AU14&lt;0,"reforçar","nenhuma"))</f>
        <v>nenhuma</v>
      </c>
      <c r="AU14" s="26" t="n">
        <f aca="false">IF(AB14&gt;0,IF(AS14&gt;=0,AB14-AS14,0),0)</f>
        <v>0</v>
      </c>
    </row>
    <row r="15" customFormat="false" ht="15" hidden="false" customHeight="false" outlineLevel="0" collapsed="false">
      <c r="A15" s="15" t="n">
        <v>11</v>
      </c>
      <c r="B15" s="27"/>
      <c r="C15" s="17"/>
      <c r="D15" s="17"/>
      <c r="E15" s="17"/>
      <c r="F15" s="37"/>
      <c r="G15" s="20"/>
      <c r="H15" s="20"/>
      <c r="I15" s="19"/>
      <c r="J15" s="20"/>
      <c r="K15" s="20"/>
      <c r="L15" s="20"/>
      <c r="M15" s="20"/>
      <c r="N15" s="20"/>
      <c r="O15" s="20"/>
      <c r="P15" s="20"/>
      <c r="R15" s="21" t="n">
        <f aca="false">IF(SUM(F15:P15)&gt;0,ROUND(AVERAGE(F15:P15),4),0)</f>
        <v>0</v>
      </c>
      <c r="T15" s="22"/>
      <c r="U15" s="23"/>
      <c r="V15" s="24"/>
      <c r="W15" s="25"/>
      <c r="X15" s="26" t="n">
        <f aca="false">IF(T15&gt;0,T15,R15)*V15</f>
        <v>0</v>
      </c>
      <c r="Z15" s="27"/>
      <c r="AA15" s="17"/>
      <c r="AB15" s="26" t="n">
        <f aca="false">IF(Z15="",0,IF(AA15="",SUMIF($B$5:$B$220,"="&amp;Z15,$X$5:$X$220),SUMIFS($X$5:$X$220, $B$5:$B$220, "="&amp;Z15, $C$5:$C$220,"="&amp;AA15)))</f>
        <v>0</v>
      </c>
      <c r="AD15" s="29"/>
      <c r="AF15" s="17"/>
      <c r="AG15" s="26" t="n">
        <f aca="false">IF(AF15="",0,SUMIF($AD$5:$AD$220,"="&amp;AF15,$X$5:$X$220))</f>
        <v>0</v>
      </c>
      <c r="AI15" s="20"/>
      <c r="AJ15" s="26" t="n">
        <f aca="false">AI15*V15</f>
        <v>0</v>
      </c>
      <c r="AK15" s="30" t="n">
        <f aca="false">IF(X15&gt;0,IF(AJ15&gt;=0,AJ15-X15,0),0)</f>
        <v>0</v>
      </c>
      <c r="AM15" s="17" t="n">
        <f aca="false">AF15</f>
        <v>0</v>
      </c>
      <c r="AN15" s="26" t="str">
        <f aca="false">IF(AM15="","",SUMIF($AD$5:$AD$220,"="&amp;AM15,$AJ$5:$AJ$220))</f>
        <v/>
      </c>
      <c r="AO15" s="26" t="e">
        <f aca="false">IF(AG15&gt;=0,IF(AN15&gt;=0,AG15-AN15,0),0)</f>
        <v>#VALUE!</v>
      </c>
      <c r="AQ15" s="27" t="n">
        <f aca="false">Z15</f>
        <v>0</v>
      </c>
      <c r="AR15" s="17" t="n">
        <f aca="false">AA15</f>
        <v>0</v>
      </c>
      <c r="AS15" s="26" t="str">
        <f aca="false">IF(AQ15="","",IF(AR15="",SUMIF($B$5:$B$220,"="&amp;AQ15,$AJ$5:$AJ$220),SUMIFS($AJ$5:$AJ$220, $B$5:$B$220, "="&amp;AQ15, $C$5:$C$220,"="&amp;AR15)))</f>
        <v/>
      </c>
      <c r="AT15" s="31" t="str">
        <f aca="false">IF(AU15&gt;0,"anular",IF(AU15&lt;0,"reforçar","nenhuma"))</f>
        <v>nenhuma</v>
      </c>
      <c r="AU15" s="26" t="n">
        <f aca="false">IF(AB15&gt;0,IF(AS15&gt;=0,AB15-AS15,0),0)</f>
        <v>0</v>
      </c>
    </row>
    <row r="16" customFormat="false" ht="15" hidden="false" customHeight="false" outlineLevel="0" collapsed="false">
      <c r="A16" s="15" t="n">
        <v>12</v>
      </c>
      <c r="B16" s="27"/>
      <c r="C16" s="17"/>
      <c r="D16" s="17"/>
      <c r="E16" s="17"/>
      <c r="F16" s="18"/>
      <c r="G16" s="20"/>
      <c r="H16" s="20"/>
      <c r="I16" s="19"/>
      <c r="J16" s="20"/>
      <c r="K16" s="20"/>
      <c r="L16" s="19"/>
      <c r="M16" s="19"/>
      <c r="N16" s="20"/>
      <c r="O16" s="19"/>
      <c r="P16" s="19"/>
      <c r="R16" s="21" t="n">
        <f aca="false">IF(SUM(F16:P16)&gt;0,ROUND(AVERAGE(F16:P16),4),0)</f>
        <v>0</v>
      </c>
      <c r="T16" s="22"/>
      <c r="U16" s="23"/>
      <c r="V16" s="24"/>
      <c r="W16" s="25"/>
      <c r="X16" s="26" t="n">
        <f aca="false">IF(T16&gt;0,T16,R16)*V16</f>
        <v>0</v>
      </c>
      <c r="Z16" s="27"/>
      <c r="AA16" s="17"/>
      <c r="AB16" s="26" t="n">
        <f aca="false">IF(Z16="",0,IF(AA16="",SUMIF($B$5:$B$220,"="&amp;Z16,$X$5:$X$220),SUMIFS($X$5:$X$220, $B$5:$B$220, "="&amp;Z16, $C$5:$C$220,"="&amp;AA16)))</f>
        <v>0</v>
      </c>
      <c r="AD16" s="29"/>
      <c r="AF16" s="17"/>
      <c r="AG16" s="26" t="n">
        <f aca="false">IF(AF16="",0,SUMIF($AD$5:$AD$220,"="&amp;AF16,$X$5:$X$220))</f>
        <v>0</v>
      </c>
      <c r="AI16" s="20"/>
      <c r="AJ16" s="26" t="n">
        <f aca="false">AI16*V16</f>
        <v>0</v>
      </c>
      <c r="AK16" s="30" t="n">
        <f aca="false">IF(X16&gt;0,IF(AJ16&gt;=0,AJ16-X16,0),0)</f>
        <v>0</v>
      </c>
      <c r="AM16" s="17" t="n">
        <f aca="false">AF16</f>
        <v>0</v>
      </c>
      <c r="AN16" s="26" t="str">
        <f aca="false">IF(AM16="","",SUMIF($AD$5:$AD$220,"="&amp;AM16,$AJ$5:$AJ$220))</f>
        <v/>
      </c>
      <c r="AO16" s="26" t="e">
        <f aca="false">IF(AG16&gt;=0,IF(AN16&gt;=0,AG16-AN16,0),0)</f>
        <v>#VALUE!</v>
      </c>
      <c r="AQ16" s="27" t="n">
        <f aca="false">Z16</f>
        <v>0</v>
      </c>
      <c r="AR16" s="17" t="n">
        <f aca="false">AA16</f>
        <v>0</v>
      </c>
      <c r="AS16" s="26" t="str">
        <f aca="false">IF(AQ16="","",IF(AR16="",SUMIF($B$5:$B$220,"="&amp;AQ16,$AJ$5:$AJ$220),SUMIFS($AJ$5:$AJ$220, $B$5:$B$220, "="&amp;AQ16, $C$5:$C$220,"="&amp;AR16)))</f>
        <v/>
      </c>
      <c r="AT16" s="31" t="str">
        <f aca="false">IF(AU16&gt;0,"anular",IF(AU16&lt;0,"reforçar","nenhuma"))</f>
        <v>nenhuma</v>
      </c>
      <c r="AU16" s="26" t="n">
        <f aca="false">IF(AB16&gt;0,IF(AS16&gt;=0,AB16-AS16,0),0)</f>
        <v>0</v>
      </c>
    </row>
    <row r="17" customFormat="false" ht="15" hidden="false" customHeight="false" outlineLevel="0" collapsed="false">
      <c r="A17" s="15" t="n">
        <v>13</v>
      </c>
      <c r="B17" s="27"/>
      <c r="C17" s="17"/>
      <c r="D17" s="17"/>
      <c r="E17" s="17"/>
      <c r="F17" s="18"/>
      <c r="G17" s="20"/>
      <c r="H17" s="20"/>
      <c r="I17" s="19"/>
      <c r="J17" s="20"/>
      <c r="K17" s="20"/>
      <c r="L17" s="20"/>
      <c r="M17" s="20"/>
      <c r="N17" s="20"/>
      <c r="O17" s="20"/>
      <c r="P17" s="20"/>
      <c r="R17" s="21" t="n">
        <f aca="false">IF(SUM(F17:P17)&gt;0,ROUND(AVERAGE(F17:P17),4),0)</f>
        <v>0</v>
      </c>
      <c r="T17" s="22"/>
      <c r="U17" s="23"/>
      <c r="V17" s="24"/>
      <c r="W17" s="25"/>
      <c r="X17" s="26" t="n">
        <f aca="false">IF(T17&gt;0,T17,R17)*V17</f>
        <v>0</v>
      </c>
      <c r="Z17" s="27"/>
      <c r="AA17" s="17"/>
      <c r="AB17" s="26" t="n">
        <f aca="false">IF(Z17="",0,IF(AA17="",SUMIF($B$5:$B$220,"="&amp;Z17,$X$5:$X$220),SUMIFS($X$5:$X$220, $B$5:$B$220, "="&amp;Z17, $C$5:$C$220,"="&amp;AA17)))</f>
        <v>0</v>
      </c>
      <c r="AD17" s="29"/>
      <c r="AF17" s="17"/>
      <c r="AG17" s="26" t="n">
        <f aca="false">IF(AF17="",0,SUMIF($AD$5:$AD$220,"="&amp;AF17,$X$5:$X$220))</f>
        <v>0</v>
      </c>
      <c r="AI17" s="20"/>
      <c r="AJ17" s="26" t="n">
        <f aca="false">AI17*V17</f>
        <v>0</v>
      </c>
      <c r="AK17" s="30" t="n">
        <f aca="false">IF(X17&gt;0,IF(AJ17&gt;=0,AJ17-X17,0),0)</f>
        <v>0</v>
      </c>
      <c r="AM17" s="17" t="n">
        <f aca="false">AF17</f>
        <v>0</v>
      </c>
      <c r="AN17" s="26" t="str">
        <f aca="false">IF(AM17="","",SUMIF($AD$5:$AD$220,"="&amp;AM17,$AJ$5:$AJ$220))</f>
        <v/>
      </c>
      <c r="AO17" s="26" t="e">
        <f aca="false">IF(AG17&gt;=0,IF(AN17&gt;=0,AG17-AN17,0),0)</f>
        <v>#VALUE!</v>
      </c>
      <c r="AQ17" s="27" t="n">
        <f aca="false">Z17</f>
        <v>0</v>
      </c>
      <c r="AR17" s="17" t="n">
        <f aca="false">AA17</f>
        <v>0</v>
      </c>
      <c r="AS17" s="26" t="str">
        <f aca="false">IF(AQ17="","",IF(AR17="",SUMIF($B$5:$B$220,"="&amp;AQ17,$AJ$5:$AJ$220),SUMIFS($AJ$5:$AJ$220, $B$5:$B$220, "="&amp;AQ17, $C$5:$C$220,"="&amp;AR17)))</f>
        <v/>
      </c>
      <c r="AT17" s="31" t="str">
        <f aca="false">IF(AU17&gt;0,"anular",IF(AU17&lt;0,"reforçar","nenhuma"))</f>
        <v>nenhuma</v>
      </c>
      <c r="AU17" s="26" t="n">
        <f aca="false">IF(AB17&gt;0,IF(AS17&gt;=0,AB17-AS17,0),0)</f>
        <v>0</v>
      </c>
    </row>
    <row r="18" customFormat="false" ht="15" hidden="false" customHeight="false" outlineLevel="0" collapsed="false">
      <c r="A18" s="15" t="n">
        <v>14</v>
      </c>
      <c r="B18" s="38"/>
      <c r="C18" s="17"/>
      <c r="D18" s="17"/>
      <c r="E18" s="17"/>
      <c r="F18" s="19"/>
      <c r="G18" s="20"/>
      <c r="H18" s="20"/>
      <c r="I18" s="19"/>
      <c r="J18" s="20"/>
      <c r="K18" s="20"/>
      <c r="L18" s="19"/>
      <c r="M18" s="19"/>
      <c r="N18" s="20"/>
      <c r="O18" s="20"/>
      <c r="P18" s="20"/>
      <c r="R18" s="21" t="n">
        <f aca="false">IF(SUM(F18:P18)&gt;0,ROUND(AVERAGE(F18:P18),4),0)</f>
        <v>0</v>
      </c>
      <c r="T18" s="22"/>
      <c r="U18" s="23"/>
      <c r="V18" s="24"/>
      <c r="W18" s="25"/>
      <c r="X18" s="26" t="n">
        <f aca="false">IF(T18&gt;0,T18,R18)*V18</f>
        <v>0</v>
      </c>
      <c r="Z18" s="27"/>
      <c r="AA18" s="17"/>
      <c r="AB18" s="26" t="n">
        <f aca="false">IF(Z18="",0,IF(AA18="",SUMIF($B$5:$B$220,"="&amp;Z18,$X$5:$X$220),SUMIFS($X$5:$X$220, $B$5:$B$220, "="&amp;Z18, $C$5:$C$220,"="&amp;AA18)))</f>
        <v>0</v>
      </c>
      <c r="AD18" s="29"/>
      <c r="AF18" s="17"/>
      <c r="AG18" s="26" t="n">
        <f aca="false">IF(AF18="",0,SUMIF($AD$5:$AD$220,"="&amp;AF18,$X$5:$X$220))</f>
        <v>0</v>
      </c>
      <c r="AI18" s="20"/>
      <c r="AJ18" s="26" t="n">
        <f aca="false">AI18*V18</f>
        <v>0</v>
      </c>
      <c r="AK18" s="30" t="n">
        <f aca="false">IF(X18&gt;0,IF(AJ18&gt;=0,AJ18-X18,0),0)</f>
        <v>0</v>
      </c>
      <c r="AM18" s="17" t="n">
        <f aca="false">AF18</f>
        <v>0</v>
      </c>
      <c r="AN18" s="26" t="str">
        <f aca="false">IF(AM18="","",SUMIF($AD$5:$AD$220,"="&amp;AM18,$AJ$5:$AJ$220))</f>
        <v/>
      </c>
      <c r="AO18" s="26" t="e">
        <f aca="false">IF(AG18&gt;=0,IF(AN18&gt;=0,AG18-AN18,0),0)</f>
        <v>#VALUE!</v>
      </c>
      <c r="AQ18" s="27" t="n">
        <f aca="false">Z18</f>
        <v>0</v>
      </c>
      <c r="AR18" s="17" t="n">
        <f aca="false">AA18</f>
        <v>0</v>
      </c>
      <c r="AS18" s="26" t="str">
        <f aca="false">IF(AQ18="","",IF(AR18="",SUMIF($B$5:$B$220,"="&amp;AQ18,$AJ$5:$AJ$220),SUMIFS($AJ$5:$AJ$220, $B$5:$B$220, "="&amp;AQ18, $C$5:$C$220,"="&amp;AR18)))</f>
        <v/>
      </c>
      <c r="AT18" s="31" t="str">
        <f aca="false">IF(AU18&gt;0,"anular",IF(AU18&lt;0,"reforçar","nenhuma"))</f>
        <v>nenhuma</v>
      </c>
      <c r="AU18" s="26" t="n">
        <f aca="false">IF(AB18&gt;0,IF(AS18&gt;=0,AB18-AS18,0),0)</f>
        <v>0</v>
      </c>
    </row>
    <row r="19" customFormat="false" ht="15" hidden="false" customHeight="false" outlineLevel="0" collapsed="false">
      <c r="A19" s="15" t="n">
        <v>15</v>
      </c>
      <c r="B19" s="27"/>
      <c r="C19" s="17"/>
      <c r="D19" s="17"/>
      <c r="E19" s="17"/>
      <c r="F19" s="19"/>
      <c r="G19" s="20"/>
      <c r="H19" s="20"/>
      <c r="I19" s="19"/>
      <c r="J19" s="20"/>
      <c r="K19" s="20"/>
      <c r="L19" s="20"/>
      <c r="M19" s="20"/>
      <c r="N19" s="20"/>
      <c r="O19" s="20"/>
      <c r="P19" s="20"/>
      <c r="R19" s="21" t="n">
        <f aca="false">IF(SUM(F19:P19)&gt;0,ROUND(AVERAGE(F19:P19),4),0)</f>
        <v>0</v>
      </c>
      <c r="T19" s="22"/>
      <c r="U19" s="23"/>
      <c r="V19" s="24"/>
      <c r="W19" s="25"/>
      <c r="X19" s="26" t="n">
        <f aca="false">IF(T19&gt;0,T19,R19)*V19</f>
        <v>0</v>
      </c>
      <c r="Z19" s="27"/>
      <c r="AA19" s="17"/>
      <c r="AB19" s="26" t="n">
        <f aca="false">IF(Z19="",0,IF(AA19="",SUMIF($B$5:$B$220,"="&amp;Z19,$X$5:$X$220),SUMIFS($X$5:$X$220, $B$5:$B$220, "="&amp;Z19, $C$5:$C$220,"="&amp;AA19)))</f>
        <v>0</v>
      </c>
      <c r="AD19" s="29"/>
      <c r="AF19" s="17"/>
      <c r="AG19" s="26" t="n">
        <f aca="false">IF(AF19="",0,SUMIF($AD$5:$AD$220,"="&amp;AF19,$X$5:$X$220))</f>
        <v>0</v>
      </c>
      <c r="AI19" s="20"/>
      <c r="AJ19" s="26" t="n">
        <f aca="false">AI19*V19</f>
        <v>0</v>
      </c>
      <c r="AK19" s="30" t="n">
        <f aca="false">IF(X19&gt;0,IF(AJ19&gt;=0,AJ19-X19,0),0)</f>
        <v>0</v>
      </c>
      <c r="AM19" s="17" t="n">
        <f aca="false">AF19</f>
        <v>0</v>
      </c>
      <c r="AN19" s="26" t="str">
        <f aca="false">IF(AM19="","",SUMIF($AD$5:$AD$220,"="&amp;AM19,$AJ$5:$AJ$220))</f>
        <v/>
      </c>
      <c r="AO19" s="26" t="e">
        <f aca="false">IF(AG19&gt;=0,IF(AN19&gt;=0,AG19-AN19,0),0)</f>
        <v>#VALUE!</v>
      </c>
      <c r="AQ19" s="27" t="n">
        <f aca="false">Z19</f>
        <v>0</v>
      </c>
      <c r="AR19" s="17" t="n">
        <f aca="false">AA19</f>
        <v>0</v>
      </c>
      <c r="AS19" s="26" t="str">
        <f aca="false">IF(AQ19="","",IF(AR19="",SUMIF($B$5:$B$220,"="&amp;AQ19,$AJ$5:$AJ$220),SUMIFS($AJ$5:$AJ$220, $B$5:$B$220, "="&amp;AQ19, $C$5:$C$220,"="&amp;AR19)))</f>
        <v/>
      </c>
      <c r="AT19" s="31" t="str">
        <f aca="false">IF(AU19&gt;0,"anular",IF(AU19&lt;0,"reforçar","nenhuma"))</f>
        <v>nenhuma</v>
      </c>
      <c r="AU19" s="26" t="n">
        <f aca="false">IF(AB19&gt;0,IF(AS19&gt;=0,AB19-AS19,0),0)</f>
        <v>0</v>
      </c>
    </row>
    <row r="20" customFormat="false" ht="15" hidden="false" customHeight="false" outlineLevel="0" collapsed="false">
      <c r="A20" s="15" t="n">
        <v>16</v>
      </c>
      <c r="B20" s="27"/>
      <c r="C20" s="17"/>
      <c r="D20" s="17"/>
      <c r="E20" s="17"/>
      <c r="F20" s="35"/>
      <c r="G20" s="20"/>
      <c r="H20" s="20"/>
      <c r="I20" s="20"/>
      <c r="J20" s="20"/>
      <c r="K20" s="20"/>
      <c r="L20" s="19"/>
      <c r="M20" s="19"/>
      <c r="N20" s="20"/>
      <c r="O20" s="20"/>
      <c r="P20" s="20"/>
      <c r="R20" s="21" t="n">
        <f aca="false">IF(SUM(F20:P20)&gt;0,ROUND(AVERAGE(F20:P20),4),0)</f>
        <v>0</v>
      </c>
      <c r="T20" s="22"/>
      <c r="U20" s="23"/>
      <c r="V20" s="24"/>
      <c r="W20" s="25"/>
      <c r="X20" s="26" t="n">
        <f aca="false">IF(T20&gt;0,T20,R20)*V20</f>
        <v>0</v>
      </c>
      <c r="Z20" s="27"/>
      <c r="AA20" s="17"/>
      <c r="AB20" s="26" t="n">
        <f aca="false">IF(Z20="",0,IF(AA20="",SUMIF($B$5:$B$220,"="&amp;Z20,$X$5:$X$220),SUMIFS($X$5:$X$220, $B$5:$B$220, "="&amp;Z20, $C$5:$C$220,"="&amp;AA20)))</f>
        <v>0</v>
      </c>
      <c r="AD20" s="29"/>
      <c r="AF20" s="17"/>
      <c r="AG20" s="26" t="n">
        <f aca="false">IF(AF20="",0,SUMIF($AD$5:$AD$220,"="&amp;AF20,$X$5:$X$220))</f>
        <v>0</v>
      </c>
      <c r="AI20" s="20"/>
      <c r="AJ20" s="26" t="n">
        <f aca="false">AI20*V20</f>
        <v>0</v>
      </c>
      <c r="AK20" s="30" t="n">
        <f aca="false">IF(X20&gt;0,IF(AJ20&gt;=0,AJ20-X20,0),0)</f>
        <v>0</v>
      </c>
      <c r="AM20" s="17" t="n">
        <f aca="false">AF20</f>
        <v>0</v>
      </c>
      <c r="AN20" s="26" t="str">
        <f aca="false">IF(AM20="","",SUMIF($AD$5:$AD$220,"="&amp;AM20,$AJ$5:$AJ$220))</f>
        <v/>
      </c>
      <c r="AO20" s="26" t="e">
        <f aca="false">IF(AG20&gt;=0,IF(AN20&gt;=0,AG20-AN20,0),0)</f>
        <v>#VALUE!</v>
      </c>
      <c r="AQ20" s="27" t="n">
        <f aca="false">Z20</f>
        <v>0</v>
      </c>
      <c r="AR20" s="17" t="n">
        <f aca="false">AA20</f>
        <v>0</v>
      </c>
      <c r="AS20" s="26" t="str">
        <f aca="false">IF(AQ20="","",IF(AR20="",SUMIF($B$5:$B$220,"="&amp;AQ20,$AJ$5:$AJ$220),SUMIFS($AJ$5:$AJ$220, $B$5:$B$220, "="&amp;AQ20, $C$5:$C$220,"="&amp;AR20)))</f>
        <v/>
      </c>
      <c r="AT20" s="31" t="str">
        <f aca="false">IF(AU20&gt;0,"anular",IF(AU20&lt;0,"reforçar","nenhuma"))</f>
        <v>nenhuma</v>
      </c>
      <c r="AU20" s="26" t="n">
        <f aca="false">IF(AB20&gt;0,IF(AS20&gt;=0,AB20-AS20,0),0)</f>
        <v>0</v>
      </c>
    </row>
    <row r="21" customFormat="false" ht="15" hidden="false" customHeight="false" outlineLevel="0" collapsed="false">
      <c r="A21" s="15" t="n">
        <v>17</v>
      </c>
      <c r="B21" s="27"/>
      <c r="C21" s="17"/>
      <c r="D21" s="17"/>
      <c r="E21" s="17"/>
      <c r="F21" s="19"/>
      <c r="G21" s="20"/>
      <c r="H21" s="20"/>
      <c r="I21" s="19"/>
      <c r="J21" s="20"/>
      <c r="K21" s="20"/>
      <c r="L21" s="20"/>
      <c r="M21" s="20"/>
      <c r="N21" s="20"/>
      <c r="O21" s="35"/>
      <c r="P21" s="20"/>
      <c r="R21" s="36" t="n">
        <f aca="false">IF(SUM(F21:P21)&gt;0,ROUND(AVERAGE(F21:P21),4),0)</f>
        <v>0</v>
      </c>
      <c r="T21" s="22"/>
      <c r="U21" s="23"/>
      <c r="V21" s="24"/>
      <c r="W21" s="25"/>
      <c r="X21" s="26" t="n">
        <f aca="false">IF(T21&gt;0,T21,R21)*V21</f>
        <v>0</v>
      </c>
      <c r="Z21" s="27"/>
      <c r="AA21" s="17"/>
      <c r="AB21" s="26" t="n">
        <f aca="false">IF(Z21="",0,IF(AA21="",SUMIF($B$5:$B$220,"="&amp;Z21,$X$5:$X$220),SUMIFS($X$5:$X$220, $B$5:$B$220, "="&amp;Z21, $C$5:$C$220,"="&amp;AA21)))</f>
        <v>0</v>
      </c>
      <c r="AD21" s="29"/>
      <c r="AF21" s="17"/>
      <c r="AG21" s="26" t="n">
        <f aca="false">IF(AF21="",0,SUMIF($AD$5:$AD$220,"="&amp;AF21,$X$5:$X$220))</f>
        <v>0</v>
      </c>
      <c r="AI21" s="20"/>
      <c r="AJ21" s="26" t="n">
        <f aca="false">AI21*V21</f>
        <v>0</v>
      </c>
      <c r="AK21" s="30" t="n">
        <f aca="false">IF(X21&gt;0,IF(AJ21&gt;=0,AJ21-X21,0),0)</f>
        <v>0</v>
      </c>
      <c r="AM21" s="17" t="n">
        <f aca="false">AF21</f>
        <v>0</v>
      </c>
      <c r="AN21" s="26" t="str">
        <f aca="false">IF(AM21="","",SUMIF($AD$5:$AD$220,"="&amp;AM21,$AJ$5:$AJ$220))</f>
        <v/>
      </c>
      <c r="AO21" s="26" t="e">
        <f aca="false">IF(AG21&gt;=0,IF(AN21&gt;=0,AG21-AN21,0),0)</f>
        <v>#VALUE!</v>
      </c>
      <c r="AQ21" s="27" t="n">
        <f aca="false">Z21</f>
        <v>0</v>
      </c>
      <c r="AR21" s="17" t="n">
        <f aca="false">AA21</f>
        <v>0</v>
      </c>
      <c r="AS21" s="26" t="str">
        <f aca="false">IF(AQ21="","",IF(AR21="",SUMIF($B$5:$B$220,"="&amp;AQ21,$AJ$5:$AJ$220),SUMIFS($AJ$5:$AJ$220, $B$5:$B$220, "="&amp;AQ21, $C$5:$C$220,"="&amp;AR21)))</f>
        <v/>
      </c>
      <c r="AT21" s="31" t="str">
        <f aca="false">IF(AU21&gt;0,"anular",IF(AU21&lt;0,"reforçar","nenhuma"))</f>
        <v>nenhuma</v>
      </c>
      <c r="AU21" s="26" t="n">
        <f aca="false">IF(AB21&gt;0,IF(AS21&gt;=0,AB21-AS21,0),0)</f>
        <v>0</v>
      </c>
    </row>
    <row r="22" customFormat="false" ht="15" hidden="false" customHeight="false" outlineLevel="0" collapsed="false">
      <c r="A22" s="15" t="n">
        <v>18</v>
      </c>
      <c r="B22" s="27"/>
      <c r="C22" s="17"/>
      <c r="D22" s="17"/>
      <c r="E22" s="17"/>
      <c r="F22" s="20"/>
      <c r="G22" s="20"/>
      <c r="H22" s="20"/>
      <c r="I22" s="19"/>
      <c r="J22" s="20"/>
      <c r="K22" s="20"/>
      <c r="L22" s="19"/>
      <c r="M22" s="19"/>
      <c r="N22" s="20"/>
      <c r="O22" s="19"/>
      <c r="P22" s="20"/>
      <c r="R22" s="36" t="n">
        <f aca="false">IF(SUM(F22:P22)&gt;0,ROUND(AVERAGE(F22:P22),4),0)</f>
        <v>0</v>
      </c>
      <c r="T22" s="22"/>
      <c r="U22" s="23"/>
      <c r="V22" s="24"/>
      <c r="W22" s="25"/>
      <c r="X22" s="26" t="n">
        <f aca="false">IF(T22&gt;0,T22,R22)*V22</f>
        <v>0</v>
      </c>
      <c r="Z22" s="27"/>
      <c r="AA22" s="17"/>
      <c r="AB22" s="26" t="n">
        <f aca="false">IF(Z22="",0,IF(AA22="",SUMIF($B$5:$B$220,"="&amp;Z22,$X$5:$X$220),SUMIFS($X$5:$X$220, $B$5:$B$220, "="&amp;Z22, $C$5:$C$220,"="&amp;AA22)))</f>
        <v>0</v>
      </c>
      <c r="AD22" s="29"/>
      <c r="AF22" s="17"/>
      <c r="AG22" s="26" t="n">
        <f aca="false">IF(AF22="",0,SUMIF($AD$5:$AD$220,"="&amp;AF22,$X$5:$X$220))</f>
        <v>0</v>
      </c>
      <c r="AI22" s="20"/>
      <c r="AJ22" s="26" t="n">
        <f aca="false">AI22*V22</f>
        <v>0</v>
      </c>
      <c r="AK22" s="30" t="n">
        <f aca="false">IF(X22&gt;0,IF(AJ22&gt;=0,AJ22-X22,0),0)</f>
        <v>0</v>
      </c>
      <c r="AM22" s="17" t="n">
        <f aca="false">AF22</f>
        <v>0</v>
      </c>
      <c r="AN22" s="26" t="str">
        <f aca="false">IF(AM22="","",SUMIF($AD$5:$AD$220,"="&amp;AM22,$AJ$5:$AJ$220))</f>
        <v/>
      </c>
      <c r="AO22" s="26" t="e">
        <f aca="false">IF(AG22&gt;=0,IF(AN22&gt;=0,AG22-AN22,0),0)</f>
        <v>#VALUE!</v>
      </c>
      <c r="AQ22" s="27" t="n">
        <f aca="false">Z22</f>
        <v>0</v>
      </c>
      <c r="AR22" s="17" t="n">
        <f aca="false">AA22</f>
        <v>0</v>
      </c>
      <c r="AS22" s="26" t="str">
        <f aca="false">IF(AQ22="","",IF(AR22="",SUMIF($B$5:$B$220,"="&amp;AQ22,$AJ$5:$AJ$220),SUMIFS($AJ$5:$AJ$220, $B$5:$B$220, "="&amp;AQ22, $C$5:$C$220,"="&amp;AR22)))</f>
        <v/>
      </c>
      <c r="AT22" s="31" t="str">
        <f aca="false">IF(AU22&gt;0,"anular",IF(AU22&lt;0,"reforçar","nenhuma"))</f>
        <v>nenhuma</v>
      </c>
      <c r="AU22" s="26" t="n">
        <f aca="false">IF(AB22&gt;0,IF(AS22&gt;=0,AB22-AS22,0),0)</f>
        <v>0</v>
      </c>
    </row>
    <row r="23" customFormat="false" ht="15" hidden="false" customHeight="false" outlineLevel="0" collapsed="false">
      <c r="A23" s="15" t="n">
        <v>19</v>
      </c>
      <c r="B23" s="27"/>
      <c r="C23" s="17"/>
      <c r="D23" s="17"/>
      <c r="E23" s="17"/>
      <c r="F23" s="19"/>
      <c r="G23" s="20"/>
      <c r="H23" s="20"/>
      <c r="I23" s="19"/>
      <c r="J23" s="20"/>
      <c r="K23" s="20"/>
      <c r="L23" s="20"/>
      <c r="M23" s="20"/>
      <c r="N23" s="20"/>
      <c r="O23" s="20"/>
      <c r="P23" s="20"/>
      <c r="R23" s="21" t="n">
        <f aca="false">IF(SUM(F23:P23)&gt;0,ROUND(AVERAGE(F23:P23),4),0)</f>
        <v>0</v>
      </c>
      <c r="T23" s="22"/>
      <c r="U23" s="23"/>
      <c r="V23" s="24"/>
      <c r="W23" s="25"/>
      <c r="X23" s="26" t="n">
        <f aca="false">IF(T23&gt;0,T23,R23)*V23</f>
        <v>0</v>
      </c>
      <c r="Z23" s="27"/>
      <c r="AA23" s="17"/>
      <c r="AB23" s="26" t="n">
        <f aca="false">IF(Z23="",0,IF(AA23="",SUMIF($B$5:$B$220,"="&amp;Z23,$X$5:$X$220),SUMIFS($X$5:$X$220, $B$5:$B$220, "="&amp;Z23, $C$5:$C$220,"="&amp;AA23)))</f>
        <v>0</v>
      </c>
      <c r="AD23" s="29"/>
      <c r="AF23" s="17"/>
      <c r="AG23" s="26" t="n">
        <f aca="false">IF(AF23="",0,SUMIF($AD$5:$AD$220,"="&amp;AF23,$X$5:$X$220))</f>
        <v>0</v>
      </c>
      <c r="AI23" s="20"/>
      <c r="AJ23" s="26" t="n">
        <f aca="false">AI23*V23</f>
        <v>0</v>
      </c>
      <c r="AK23" s="30" t="n">
        <f aca="false">IF(X23&gt;0,IF(AJ23&gt;=0,AJ23-X23,0),0)</f>
        <v>0</v>
      </c>
      <c r="AM23" s="17" t="n">
        <f aca="false">AF23</f>
        <v>0</v>
      </c>
      <c r="AN23" s="26" t="str">
        <f aca="false">IF(AM23="","",SUMIF($AD$5:$AD$220,"="&amp;AM23,$AJ$5:$AJ$220))</f>
        <v/>
      </c>
      <c r="AO23" s="26" t="e">
        <f aca="false">IF(AG23&gt;=0,IF(AN23&gt;=0,AG23-AN23,0),0)</f>
        <v>#VALUE!</v>
      </c>
      <c r="AQ23" s="27" t="n">
        <f aca="false">Z23</f>
        <v>0</v>
      </c>
      <c r="AR23" s="17" t="n">
        <f aca="false">AA23</f>
        <v>0</v>
      </c>
      <c r="AS23" s="26" t="str">
        <f aca="false">IF(AQ23="","",IF(AR23="",SUMIF($B$5:$B$220,"="&amp;AQ23,$AJ$5:$AJ$220),SUMIFS($AJ$5:$AJ$220, $B$5:$B$220, "="&amp;AQ23, $C$5:$C$220,"="&amp;AR23)))</f>
        <v/>
      </c>
      <c r="AT23" s="31" t="str">
        <f aca="false">IF(AU23&gt;0,"anular",IF(AU23&lt;0,"reforçar","nenhuma"))</f>
        <v>nenhuma</v>
      </c>
      <c r="AU23" s="26" t="n">
        <f aca="false">IF(AB23&gt;0,IF(AS23&gt;=0,AB23-AS23,0),0)</f>
        <v>0</v>
      </c>
    </row>
    <row r="24" customFormat="false" ht="15" hidden="false" customHeight="false" outlineLevel="0" collapsed="false">
      <c r="A24" s="15" t="n">
        <v>20</v>
      </c>
      <c r="B24" s="27"/>
      <c r="C24" s="17"/>
      <c r="D24" s="17"/>
      <c r="E24" s="17"/>
      <c r="F24" s="18"/>
      <c r="G24" s="20"/>
      <c r="H24" s="20"/>
      <c r="I24" s="19"/>
      <c r="J24" s="20"/>
      <c r="K24" s="19"/>
      <c r="L24" s="20"/>
      <c r="M24" s="20"/>
      <c r="N24" s="20"/>
      <c r="O24" s="20"/>
      <c r="P24" s="20"/>
      <c r="R24" s="21" t="n">
        <f aca="false">IF(SUM(F24:P24)&gt;0,ROUND(AVERAGE(F24:P24),4),0)</f>
        <v>0</v>
      </c>
      <c r="T24" s="22"/>
      <c r="U24" s="23"/>
      <c r="V24" s="24"/>
      <c r="W24" s="25"/>
      <c r="X24" s="26" t="n">
        <f aca="false">IF(T24&gt;0,T24,R24)*V24</f>
        <v>0</v>
      </c>
      <c r="Z24" s="27"/>
      <c r="AA24" s="17"/>
      <c r="AB24" s="26" t="n">
        <f aca="false">IF(Z24="",0,IF(AA24="",SUMIF($B$5:$B$220,"="&amp;Z24,$X$5:$X$220),SUMIFS($X$5:$X$220, $B$5:$B$220, "="&amp;Z24, $C$5:$C$220,"="&amp;AA24)))</f>
        <v>0</v>
      </c>
      <c r="AD24" s="29"/>
      <c r="AF24" s="17"/>
      <c r="AG24" s="26" t="n">
        <f aca="false">IF(AF24="",0,SUMIF($AD$5:$AD$220,"="&amp;AF24,$X$5:$X$220))</f>
        <v>0</v>
      </c>
      <c r="AI24" s="20"/>
      <c r="AJ24" s="26" t="n">
        <f aca="false">AI24*V24</f>
        <v>0</v>
      </c>
      <c r="AK24" s="30" t="n">
        <f aca="false">IF(X24&gt;0,IF(AJ24&gt;=0,AJ24-X24,0),0)</f>
        <v>0</v>
      </c>
      <c r="AM24" s="17" t="n">
        <f aca="false">AF24</f>
        <v>0</v>
      </c>
      <c r="AN24" s="26" t="str">
        <f aca="false">IF(AM24="","",SUMIF($AD$5:$AD$220,"="&amp;AM24,$AJ$5:$AJ$220))</f>
        <v/>
      </c>
      <c r="AO24" s="26" t="e">
        <f aca="false">IF(AG24&gt;=0,IF(AN24&gt;=0,AG24-AN24,0),0)</f>
        <v>#VALUE!</v>
      </c>
      <c r="AQ24" s="27" t="n">
        <f aca="false">Z24</f>
        <v>0</v>
      </c>
      <c r="AR24" s="17" t="n">
        <f aca="false">AA24</f>
        <v>0</v>
      </c>
      <c r="AS24" s="26" t="str">
        <f aca="false">IF(AQ24="","",IF(AR24="",SUMIF($B$5:$B$220,"="&amp;AQ24,$AJ$5:$AJ$220),SUMIFS($AJ$5:$AJ$220, $B$5:$B$220, "="&amp;AQ24, $C$5:$C$220,"="&amp;AR24)))</f>
        <v/>
      </c>
      <c r="AT24" s="31" t="str">
        <f aca="false">IF(AU24&gt;0,"anular",IF(AU24&lt;0,"reforçar","nenhuma"))</f>
        <v>nenhuma</v>
      </c>
      <c r="AU24" s="26" t="n">
        <f aca="false">IF(AB24&gt;0,IF(AS24&gt;=0,AB24-AS24,0),0)</f>
        <v>0</v>
      </c>
    </row>
    <row r="25" customFormat="false" ht="15" hidden="false" customHeight="false" outlineLevel="0" collapsed="false">
      <c r="A25" s="15" t="n">
        <v>21</v>
      </c>
      <c r="B25" s="27"/>
      <c r="C25" s="17"/>
      <c r="D25" s="17"/>
      <c r="E25" s="17"/>
      <c r="F25" s="19"/>
      <c r="G25" s="20"/>
      <c r="H25" s="20"/>
      <c r="I25" s="19"/>
      <c r="J25" s="20"/>
      <c r="K25" s="20"/>
      <c r="L25" s="19"/>
      <c r="M25" s="19"/>
      <c r="N25" s="20"/>
      <c r="O25" s="20"/>
      <c r="P25" s="19"/>
      <c r="R25" s="21" t="n">
        <f aca="false">IF(SUM(F25:P25)&gt;0,ROUND(AVERAGE(F25:P25),4),0)</f>
        <v>0</v>
      </c>
      <c r="T25" s="22"/>
      <c r="U25" s="23"/>
      <c r="V25" s="24"/>
      <c r="W25" s="25"/>
      <c r="X25" s="26" t="n">
        <f aca="false">IF(T25&gt;0,T25,R25)*V25</f>
        <v>0</v>
      </c>
      <c r="Z25" s="27"/>
      <c r="AA25" s="17"/>
      <c r="AB25" s="26" t="n">
        <f aca="false">IF(Z25="",0,IF(AA25="",SUMIF($B$5:$B$220,"="&amp;Z25,$X$5:$X$220),SUMIFS($X$5:$X$220, $B$5:$B$220, "="&amp;Z25, $C$5:$C$220,"="&amp;AA25)))</f>
        <v>0</v>
      </c>
      <c r="AD25" s="29"/>
      <c r="AF25" s="17"/>
      <c r="AG25" s="26" t="n">
        <f aca="false">IF(AF25="",0,SUMIF($AD$5:$AD$220,"="&amp;AF25,$X$5:$X$220))</f>
        <v>0</v>
      </c>
      <c r="AI25" s="20"/>
      <c r="AJ25" s="26" t="n">
        <f aca="false">AI25*V25</f>
        <v>0</v>
      </c>
      <c r="AK25" s="30" t="n">
        <f aca="false">IF(X25&gt;0,IF(AJ25&gt;=0,AJ25-X25,0),0)</f>
        <v>0</v>
      </c>
      <c r="AM25" s="17" t="n">
        <f aca="false">AF25</f>
        <v>0</v>
      </c>
      <c r="AN25" s="26" t="str">
        <f aca="false">IF(AM25="","",SUMIF($AD$5:$AD$220,"="&amp;AM25,$AJ$5:$AJ$220))</f>
        <v/>
      </c>
      <c r="AO25" s="26" t="e">
        <f aca="false">IF(AG25&gt;=0,IF(AN25&gt;=0,AG25-AN25,0),0)</f>
        <v>#VALUE!</v>
      </c>
      <c r="AQ25" s="27" t="n">
        <f aca="false">Z25</f>
        <v>0</v>
      </c>
      <c r="AR25" s="17" t="n">
        <f aca="false">AA25</f>
        <v>0</v>
      </c>
      <c r="AS25" s="26" t="str">
        <f aca="false">IF(AQ25="","",IF(AR25="",SUMIF($B$5:$B$220,"="&amp;AQ25,$AJ$5:$AJ$220),SUMIFS($AJ$5:$AJ$220, $B$5:$B$220, "="&amp;AQ25, $C$5:$C$220,"="&amp;AR25)))</f>
        <v/>
      </c>
      <c r="AT25" s="31" t="str">
        <f aca="false">IF(AU25&gt;0,"anular",IF(AU25&lt;0,"reforçar","nenhuma"))</f>
        <v>nenhuma</v>
      </c>
      <c r="AU25" s="26" t="n">
        <f aca="false">IF(AB25&gt;0,IF(AS25&gt;=0,AB25-AS25,0),0)</f>
        <v>0</v>
      </c>
    </row>
    <row r="26" customFormat="false" ht="15" hidden="false" customHeight="false" outlineLevel="0" collapsed="false">
      <c r="A26" s="15" t="n">
        <v>22</v>
      </c>
      <c r="B26" s="27"/>
      <c r="C26" s="17"/>
      <c r="D26" s="17"/>
      <c r="E26" s="17"/>
      <c r="F26" s="19"/>
      <c r="G26" s="20"/>
      <c r="H26" s="20"/>
      <c r="I26" s="19"/>
      <c r="J26" s="20"/>
      <c r="K26" s="20"/>
      <c r="L26" s="19"/>
      <c r="M26" s="19"/>
      <c r="N26" s="20"/>
      <c r="O26" s="20"/>
      <c r="P26" s="20"/>
      <c r="R26" s="36" t="n">
        <f aca="false">IF(SUM(F26:P26)&gt;0,ROUND(AVERAGE(F26:P26),4),0)</f>
        <v>0</v>
      </c>
      <c r="T26" s="22"/>
      <c r="U26" s="23"/>
      <c r="V26" s="24"/>
      <c r="W26" s="25"/>
      <c r="X26" s="26" t="n">
        <f aca="false">IF(T26&gt;0,T26,R26)*V26</f>
        <v>0</v>
      </c>
      <c r="Z26" s="27"/>
      <c r="AA26" s="17"/>
      <c r="AB26" s="26" t="n">
        <f aca="false">IF(Z26="",0,IF(AA26="",SUMIF($B$5:$B$220,"="&amp;Z26,$X$5:$X$220),SUMIFS($X$5:$X$220, $B$5:$B$220, "="&amp;Z26, $C$5:$C$220,"="&amp;AA26)))</f>
        <v>0</v>
      </c>
      <c r="AD26" s="29"/>
      <c r="AF26" s="17"/>
      <c r="AG26" s="26" t="n">
        <f aca="false">IF(AF26="",0,SUMIF($AD$5:$AD$220,"="&amp;AF26,$X$5:$X$220))</f>
        <v>0</v>
      </c>
      <c r="AI26" s="20"/>
      <c r="AJ26" s="26" t="n">
        <f aca="false">AI26*V26</f>
        <v>0</v>
      </c>
      <c r="AK26" s="30" t="n">
        <f aca="false">IF(X26&gt;0,IF(AJ26&gt;=0,AJ26-X26,0),0)</f>
        <v>0</v>
      </c>
      <c r="AM26" s="17" t="n">
        <f aca="false">AF26</f>
        <v>0</v>
      </c>
      <c r="AN26" s="26" t="str">
        <f aca="false">IF(AM26="","",SUMIF($AD$5:$AD$220,"="&amp;AM26,$AJ$5:$AJ$220))</f>
        <v/>
      </c>
      <c r="AO26" s="26" t="e">
        <f aca="false">IF(AG26&gt;=0,IF(AN26&gt;=0,AG26-AN26,0),0)</f>
        <v>#VALUE!</v>
      </c>
      <c r="AQ26" s="27" t="n">
        <f aca="false">Z26</f>
        <v>0</v>
      </c>
      <c r="AR26" s="17" t="n">
        <f aca="false">AA26</f>
        <v>0</v>
      </c>
      <c r="AS26" s="26" t="str">
        <f aca="false">IF(AQ26="","",IF(AR26="",SUMIF($B$5:$B$220,"="&amp;AQ26,$AJ$5:$AJ$220),SUMIFS($AJ$5:$AJ$220, $B$5:$B$220, "="&amp;AQ26, $C$5:$C$220,"="&amp;AR26)))</f>
        <v/>
      </c>
      <c r="AT26" s="31" t="str">
        <f aca="false">IF(AU26&gt;0,"anular",IF(AU26&lt;0,"reforçar","nenhuma"))</f>
        <v>nenhuma</v>
      </c>
      <c r="AU26" s="26" t="n">
        <f aca="false">IF(AB26&gt;0,IF(AS26&gt;=0,AB26-AS26,0),0)</f>
        <v>0</v>
      </c>
    </row>
    <row r="27" customFormat="false" ht="15" hidden="false" customHeight="false" outlineLevel="0" collapsed="false">
      <c r="A27" s="15" t="n">
        <v>23</v>
      </c>
      <c r="B27" s="27"/>
      <c r="C27" s="17"/>
      <c r="D27" s="17"/>
      <c r="E27" s="17"/>
      <c r="F27" s="19"/>
      <c r="G27" s="20"/>
      <c r="H27" s="20"/>
      <c r="I27" s="19"/>
      <c r="J27" s="20"/>
      <c r="K27" s="20"/>
      <c r="L27" s="19"/>
      <c r="M27" s="19"/>
      <c r="N27" s="20"/>
      <c r="O27" s="20"/>
      <c r="P27" s="20"/>
      <c r="R27" s="21" t="n">
        <f aca="false">IF(SUM(F27:P27)&gt;0,ROUND(AVERAGE(F27:P27),4),0)</f>
        <v>0</v>
      </c>
      <c r="T27" s="22"/>
      <c r="U27" s="23"/>
      <c r="V27" s="24"/>
      <c r="W27" s="25"/>
      <c r="X27" s="26" t="n">
        <f aca="false">IF(T27&gt;0,T27,R27)*V27</f>
        <v>0</v>
      </c>
      <c r="Z27" s="27"/>
      <c r="AA27" s="17"/>
      <c r="AB27" s="26" t="n">
        <f aca="false">IF(Z27="",0,IF(AA27="",SUMIF($B$5:$B$220,"="&amp;Z27,$X$5:$X$220),SUMIFS($X$5:$X$220, $B$5:$B$220, "="&amp;Z27, $C$5:$C$220,"="&amp;AA27)))</f>
        <v>0</v>
      </c>
      <c r="AD27" s="29"/>
      <c r="AF27" s="17"/>
      <c r="AG27" s="26" t="n">
        <f aca="false">IF(AF27="",0,SUMIF($AD$5:$AD$220,"="&amp;AF27,$X$5:$X$220))</f>
        <v>0</v>
      </c>
      <c r="AI27" s="20"/>
      <c r="AJ27" s="26" t="n">
        <f aca="false">AI27*V27</f>
        <v>0</v>
      </c>
      <c r="AK27" s="30" t="n">
        <f aca="false">IF(X27&gt;0,IF(AJ27&gt;=0,AJ27-X27,0),0)</f>
        <v>0</v>
      </c>
      <c r="AM27" s="17" t="n">
        <f aca="false">AF27</f>
        <v>0</v>
      </c>
      <c r="AN27" s="26" t="str">
        <f aca="false">IF(AM27="","",SUMIF($AD$5:$AD$220,"="&amp;AM27,$AJ$5:$AJ$220))</f>
        <v/>
      </c>
      <c r="AO27" s="26" t="e">
        <f aca="false">IF(AG27&gt;=0,IF(AN27&gt;=0,AG27-AN27,0),0)</f>
        <v>#VALUE!</v>
      </c>
      <c r="AQ27" s="27" t="n">
        <f aca="false">Z27</f>
        <v>0</v>
      </c>
      <c r="AR27" s="17" t="n">
        <f aca="false">AA27</f>
        <v>0</v>
      </c>
      <c r="AS27" s="26" t="str">
        <f aca="false">IF(AQ27="","",IF(AR27="",SUMIF($B$5:$B$220,"="&amp;AQ27,$AJ$5:$AJ$220),SUMIFS($AJ$5:$AJ$220, $B$5:$B$220, "="&amp;AQ27, $C$5:$C$220,"="&amp;AR27)))</f>
        <v/>
      </c>
      <c r="AT27" s="31" t="str">
        <f aca="false">IF(AU27&gt;0,"anular",IF(AU27&lt;0,"reforçar","nenhuma"))</f>
        <v>nenhuma</v>
      </c>
      <c r="AU27" s="26" t="n">
        <f aca="false">IF(AB27&gt;0,IF(AS27&gt;=0,AB27-AS27,0),0)</f>
        <v>0</v>
      </c>
    </row>
    <row r="28" customFormat="false" ht="15" hidden="false" customHeight="false" outlineLevel="0" collapsed="false">
      <c r="A28" s="15" t="n">
        <v>24</v>
      </c>
      <c r="B28" s="27"/>
      <c r="C28" s="17"/>
      <c r="D28" s="17"/>
      <c r="E28" s="17"/>
      <c r="F28" s="19"/>
      <c r="G28" s="20"/>
      <c r="H28" s="19"/>
      <c r="I28" s="19"/>
      <c r="J28" s="20"/>
      <c r="K28" s="20"/>
      <c r="L28" s="20"/>
      <c r="M28" s="20"/>
      <c r="N28" s="20"/>
      <c r="O28" s="20"/>
      <c r="P28" s="20"/>
      <c r="R28" s="21" t="n">
        <f aca="false">IF(SUM(F28:P28)&gt;0,ROUND(AVERAGE(F28:P28),4),0)</f>
        <v>0</v>
      </c>
      <c r="T28" s="22"/>
      <c r="U28" s="23"/>
      <c r="V28" s="24"/>
      <c r="W28" s="25"/>
      <c r="X28" s="26" t="n">
        <f aca="false">IF(T28&gt;0,T28,R28)*V28</f>
        <v>0</v>
      </c>
      <c r="Z28" s="27"/>
      <c r="AA28" s="17"/>
      <c r="AB28" s="26" t="n">
        <f aca="false">IF(Z28="",0,IF(AA28="",SUMIF($B$5:$B$220,"="&amp;Z28,$X$5:$X$220),SUMIFS($X$5:$X$220, $B$5:$B$220, "="&amp;Z28, $C$5:$C$220,"="&amp;AA28)))</f>
        <v>0</v>
      </c>
      <c r="AD28" s="29"/>
      <c r="AF28" s="17"/>
      <c r="AG28" s="26" t="n">
        <f aca="false">IF(AF28="",0,SUMIF($AD$5:$AD$220,"="&amp;AF28,$X$5:$X$220))</f>
        <v>0</v>
      </c>
      <c r="AI28" s="20"/>
      <c r="AJ28" s="26" t="n">
        <f aca="false">AI28*V28</f>
        <v>0</v>
      </c>
      <c r="AK28" s="30" t="n">
        <f aca="false">IF(X28&gt;0,IF(AJ28&gt;=0,AJ28-X28,0),0)</f>
        <v>0</v>
      </c>
      <c r="AM28" s="17" t="n">
        <f aca="false">AF28</f>
        <v>0</v>
      </c>
      <c r="AN28" s="26" t="str">
        <f aca="false">IF(AM28="","",SUMIF($AD$5:$AD$220,"="&amp;AM28,$AJ$5:$AJ$220))</f>
        <v/>
      </c>
      <c r="AO28" s="26" t="e">
        <f aca="false">IF(AG28&gt;=0,IF(AN28&gt;=0,AG28-AN28,0),0)</f>
        <v>#VALUE!</v>
      </c>
      <c r="AQ28" s="27" t="n">
        <f aca="false">Z28</f>
        <v>0</v>
      </c>
      <c r="AR28" s="17" t="n">
        <f aca="false">AA28</f>
        <v>0</v>
      </c>
      <c r="AS28" s="26" t="str">
        <f aca="false">IF(AQ28="","",IF(AR28="",SUMIF($B$5:$B$220,"="&amp;AQ28,$AJ$5:$AJ$220),SUMIFS($AJ$5:$AJ$220, $B$5:$B$220, "="&amp;AQ28, $C$5:$C$220,"="&amp;AR28)))</f>
        <v/>
      </c>
      <c r="AT28" s="31" t="str">
        <f aca="false">IF(AU28&gt;0,"anular",IF(AU28&lt;0,"reforçar","nenhuma"))</f>
        <v>nenhuma</v>
      </c>
      <c r="AU28" s="26" t="n">
        <f aca="false">IF(AB28&gt;0,IF(AS28&gt;=0,AB28-AS28,0),0)</f>
        <v>0</v>
      </c>
    </row>
    <row r="29" customFormat="false" ht="15" hidden="false" customHeight="false" outlineLevel="0" collapsed="false">
      <c r="A29" s="15" t="n">
        <v>25</v>
      </c>
      <c r="B29" s="27"/>
      <c r="C29" s="17"/>
      <c r="D29" s="17"/>
      <c r="E29" s="17"/>
      <c r="F29" s="19"/>
      <c r="G29" s="20"/>
      <c r="H29" s="20"/>
      <c r="I29" s="19"/>
      <c r="J29" s="20"/>
      <c r="K29" s="20"/>
      <c r="L29" s="19"/>
      <c r="M29" s="19"/>
      <c r="N29" s="20"/>
      <c r="O29" s="20"/>
      <c r="P29" s="20"/>
      <c r="R29" s="21" t="n">
        <f aca="false">IF(SUM(F29:P29)&gt;0,ROUND(AVERAGE(F29:P29),4),0)</f>
        <v>0</v>
      </c>
      <c r="T29" s="22"/>
      <c r="U29" s="23"/>
      <c r="V29" s="24"/>
      <c r="W29" s="25"/>
      <c r="X29" s="26" t="n">
        <f aca="false">IF(T29&gt;0,T29,R29)*V29</f>
        <v>0</v>
      </c>
      <c r="Z29" s="27"/>
      <c r="AA29" s="17"/>
      <c r="AB29" s="26" t="n">
        <f aca="false">IF(Z29="",0,IF(AA29="",SUMIF($B$5:$B$220,"="&amp;Z29,$X$5:$X$220),SUMIFS($X$5:$X$220, $B$5:$B$220, "="&amp;Z29, $C$5:$C$220,"="&amp;AA29)))</f>
        <v>0</v>
      </c>
      <c r="AD29" s="29"/>
      <c r="AF29" s="17"/>
      <c r="AG29" s="26" t="n">
        <f aca="false">IF(AF29="",0,SUMIF($AD$5:$AD$220,"="&amp;AF29,$X$5:$X$220))</f>
        <v>0</v>
      </c>
      <c r="AI29" s="20"/>
      <c r="AJ29" s="26" t="n">
        <f aca="false">AI29*V29</f>
        <v>0</v>
      </c>
      <c r="AK29" s="30" t="n">
        <f aca="false">IF(X29&gt;0,IF(AJ29&gt;=0,AJ29-X29,0),0)</f>
        <v>0</v>
      </c>
      <c r="AM29" s="17" t="n">
        <f aca="false">AF29</f>
        <v>0</v>
      </c>
      <c r="AN29" s="26" t="str">
        <f aca="false">IF(AM29="","",SUMIF($AD$5:$AD$220,"="&amp;AM29,$AJ$5:$AJ$220))</f>
        <v/>
      </c>
      <c r="AO29" s="26" t="e">
        <f aca="false">IF(AG29&gt;=0,IF(AN29&gt;=0,AG29-AN29,0),0)</f>
        <v>#VALUE!</v>
      </c>
      <c r="AQ29" s="27" t="n">
        <f aca="false">Z29</f>
        <v>0</v>
      </c>
      <c r="AR29" s="17" t="n">
        <f aca="false">AA29</f>
        <v>0</v>
      </c>
      <c r="AS29" s="26" t="str">
        <f aca="false">IF(AQ29="","",IF(AR29="",SUMIF($B$5:$B$220,"="&amp;AQ29,$AJ$5:$AJ$220),SUMIFS($AJ$5:$AJ$220, $B$5:$B$220, "="&amp;AQ29, $C$5:$C$220,"="&amp;AR29)))</f>
        <v/>
      </c>
      <c r="AT29" s="31" t="str">
        <f aca="false">IF(AU29&gt;0,"anular",IF(AU29&lt;0,"reforçar","nenhuma"))</f>
        <v>nenhuma</v>
      </c>
      <c r="AU29" s="26" t="n">
        <f aca="false">IF(AB29&gt;0,IF(AS29&gt;=0,AB29-AS29,0),0)</f>
        <v>0</v>
      </c>
    </row>
    <row r="30" customFormat="false" ht="15" hidden="false" customHeight="false" outlineLevel="0" collapsed="false">
      <c r="A30" s="15" t="n">
        <v>26</v>
      </c>
      <c r="B30" s="27"/>
      <c r="C30" s="17"/>
      <c r="D30" s="17"/>
      <c r="E30" s="17"/>
      <c r="F30" s="20"/>
      <c r="G30" s="20"/>
      <c r="H30" s="20"/>
      <c r="I30" s="19"/>
      <c r="J30" s="20"/>
      <c r="K30" s="19"/>
      <c r="L30" s="19"/>
      <c r="M30" s="19"/>
      <c r="N30" s="20"/>
      <c r="O30" s="20"/>
      <c r="P30" s="20"/>
      <c r="R30" s="21" t="n">
        <f aca="false">IF(SUM(F30:P30)&gt;0,ROUND(AVERAGE(F30:P30),4),0)</f>
        <v>0</v>
      </c>
      <c r="T30" s="22"/>
      <c r="U30" s="23"/>
      <c r="V30" s="24"/>
      <c r="W30" s="25"/>
      <c r="X30" s="26" t="n">
        <f aca="false">IF(T30&gt;0,T30,R30)*V30</f>
        <v>0</v>
      </c>
      <c r="Z30" s="27"/>
      <c r="AA30" s="17"/>
      <c r="AB30" s="26" t="n">
        <f aca="false">IF(Z30="",0,IF(AA30="",SUMIF($B$5:$B$220,"="&amp;Z30,$X$5:$X$220),SUMIFS($X$5:$X$220, $B$5:$B$220, "="&amp;Z30, $C$5:$C$220,"="&amp;AA30)))</f>
        <v>0</v>
      </c>
      <c r="AD30" s="29"/>
      <c r="AF30" s="17"/>
      <c r="AG30" s="26" t="n">
        <f aca="false">IF(AF30="",0,SUMIF($AD$5:$AD$220,"="&amp;AF30,$X$5:$X$220))</f>
        <v>0</v>
      </c>
      <c r="AI30" s="20"/>
      <c r="AJ30" s="26" t="n">
        <f aca="false">AI30*V30</f>
        <v>0</v>
      </c>
      <c r="AK30" s="30" t="n">
        <f aca="false">IF(X30&gt;0,IF(AJ30&gt;=0,AJ30-X30,0),0)</f>
        <v>0</v>
      </c>
      <c r="AM30" s="17" t="n">
        <f aca="false">AF30</f>
        <v>0</v>
      </c>
      <c r="AN30" s="26" t="str">
        <f aca="false">IF(AM30="","",SUMIF($AD$5:$AD$220,"="&amp;AM30,$AJ$5:$AJ$220))</f>
        <v/>
      </c>
      <c r="AO30" s="26" t="e">
        <f aca="false">IF(AG30&gt;=0,IF(AN30&gt;=0,AG30-AN30,0),0)</f>
        <v>#VALUE!</v>
      </c>
      <c r="AQ30" s="27" t="n">
        <f aca="false">Z30</f>
        <v>0</v>
      </c>
      <c r="AR30" s="17" t="n">
        <f aca="false">AA30</f>
        <v>0</v>
      </c>
      <c r="AS30" s="26" t="str">
        <f aca="false">IF(AQ30="","",IF(AR30="",SUMIF($B$5:$B$220,"="&amp;AQ30,$AJ$5:$AJ$220),SUMIFS($AJ$5:$AJ$220, $B$5:$B$220, "="&amp;AQ30, $C$5:$C$220,"="&amp;AR30)))</f>
        <v/>
      </c>
      <c r="AT30" s="31" t="str">
        <f aca="false">IF(AU30&gt;0,"anular",IF(AU30&lt;0,"reforçar","nenhuma"))</f>
        <v>nenhuma</v>
      </c>
      <c r="AU30" s="26" t="n">
        <f aca="false">IF(AB30&gt;0,IF(AS30&gt;=0,AB30-AS30,0),0)</f>
        <v>0</v>
      </c>
    </row>
    <row r="31" customFormat="false" ht="15" hidden="false" customHeight="false" outlineLevel="0" collapsed="false">
      <c r="A31" s="15" t="n">
        <v>27</v>
      </c>
      <c r="B31" s="27"/>
      <c r="C31" s="17"/>
      <c r="D31" s="17"/>
      <c r="E31" s="17"/>
      <c r="F31" s="19"/>
      <c r="G31" s="20"/>
      <c r="H31" s="20"/>
      <c r="I31" s="19"/>
      <c r="J31" s="20"/>
      <c r="K31" s="20"/>
      <c r="L31" s="19"/>
      <c r="M31" s="19"/>
      <c r="N31" s="20"/>
      <c r="O31" s="20"/>
      <c r="P31" s="20"/>
      <c r="R31" s="21" t="n">
        <f aca="false">IF(SUM(F31:P31)&gt;0,ROUND(AVERAGE(F31:P31),4),0)</f>
        <v>0</v>
      </c>
      <c r="T31" s="22"/>
      <c r="U31" s="23"/>
      <c r="V31" s="24"/>
      <c r="W31" s="25"/>
      <c r="X31" s="26" t="n">
        <f aca="false">IF(T31&gt;0,T31,R31)*V31</f>
        <v>0</v>
      </c>
      <c r="Z31" s="27"/>
      <c r="AA31" s="17"/>
      <c r="AB31" s="26" t="n">
        <f aca="false">IF(Z31="",0,IF(AA31="",SUMIF($B$5:$B$220,"="&amp;Z31,$X$5:$X$220),SUMIFS($X$5:$X$220, $B$5:$B$220, "="&amp;Z31, $C$5:$C$220,"="&amp;AA31)))</f>
        <v>0</v>
      </c>
      <c r="AD31" s="29"/>
      <c r="AF31" s="17"/>
      <c r="AG31" s="26" t="n">
        <f aca="false">IF(AF31="",0,SUMIF($AD$5:$AD$220,"="&amp;AF31,$X$5:$X$220))</f>
        <v>0</v>
      </c>
      <c r="AI31" s="20"/>
      <c r="AJ31" s="26" t="n">
        <f aca="false">AI31*V31</f>
        <v>0</v>
      </c>
      <c r="AK31" s="30" t="n">
        <f aca="false">IF(X31&gt;0,IF(AJ31&gt;=0,AJ31-X31,0),0)</f>
        <v>0</v>
      </c>
      <c r="AM31" s="17" t="n">
        <f aca="false">AF31</f>
        <v>0</v>
      </c>
      <c r="AN31" s="26" t="str">
        <f aca="false">IF(AM31="","",SUMIF($AD$5:$AD$220,"="&amp;AM31,$AJ$5:$AJ$220))</f>
        <v/>
      </c>
      <c r="AO31" s="26" t="e">
        <f aca="false">IF(AG31&gt;=0,IF(AN31&gt;=0,AG31-AN31,0),0)</f>
        <v>#VALUE!</v>
      </c>
      <c r="AQ31" s="27" t="n">
        <f aca="false">Z31</f>
        <v>0</v>
      </c>
      <c r="AR31" s="17" t="n">
        <f aca="false">AA31</f>
        <v>0</v>
      </c>
      <c r="AS31" s="26" t="str">
        <f aca="false">IF(AQ31="","",IF(AR31="",SUMIF($B$5:$B$220,"="&amp;AQ31,$AJ$5:$AJ$220),SUMIFS($AJ$5:$AJ$220, $B$5:$B$220, "="&amp;AQ31, $C$5:$C$220,"="&amp;AR31)))</f>
        <v/>
      </c>
      <c r="AT31" s="31" t="str">
        <f aca="false">IF(AU31&gt;0,"anular",IF(AU31&lt;0,"reforçar","nenhuma"))</f>
        <v>nenhuma</v>
      </c>
      <c r="AU31" s="26" t="n">
        <f aca="false">IF(AB31&gt;0,IF(AS31&gt;=0,AB31-AS31,0),0)</f>
        <v>0</v>
      </c>
    </row>
    <row r="32" customFormat="false" ht="15" hidden="false" customHeight="false" outlineLevel="0" collapsed="false">
      <c r="A32" s="15" t="n">
        <v>28</v>
      </c>
      <c r="B32" s="27"/>
      <c r="C32" s="17"/>
      <c r="D32" s="17"/>
      <c r="E32" s="17"/>
      <c r="F32" s="19"/>
      <c r="G32" s="20"/>
      <c r="H32" s="20"/>
      <c r="I32" s="20"/>
      <c r="J32" s="20"/>
      <c r="K32" s="20"/>
      <c r="L32" s="19"/>
      <c r="M32" s="19"/>
      <c r="N32" s="20"/>
      <c r="O32" s="20"/>
      <c r="P32" s="20"/>
      <c r="R32" s="21" t="n">
        <f aca="false">IF(SUM(F32:P32)&gt;0,ROUND(AVERAGE(F32:P32),4),0)</f>
        <v>0</v>
      </c>
      <c r="T32" s="22"/>
      <c r="U32" s="23"/>
      <c r="V32" s="24"/>
      <c r="W32" s="25"/>
      <c r="X32" s="26" t="n">
        <f aca="false">IF(T32&gt;0,T32,R32)*V32</f>
        <v>0</v>
      </c>
      <c r="Z32" s="27"/>
      <c r="AA32" s="17"/>
      <c r="AB32" s="26" t="n">
        <f aca="false">IF(Z32="",0,IF(AA32="",SUMIF($B$5:$B$220,"="&amp;Z32,$X$5:$X$220),SUMIFS($X$5:$X$220, $B$5:$B$220, "="&amp;Z32, $C$5:$C$220,"="&amp;AA32)))</f>
        <v>0</v>
      </c>
      <c r="AD32" s="29"/>
      <c r="AF32" s="17"/>
      <c r="AG32" s="26" t="n">
        <f aca="false">IF(AF32="",0,SUMIF($AD$5:$AD$220,"="&amp;AF32,$X$5:$X$220))</f>
        <v>0</v>
      </c>
      <c r="AI32" s="20"/>
      <c r="AJ32" s="26" t="n">
        <f aca="false">AI32*V32</f>
        <v>0</v>
      </c>
      <c r="AK32" s="30" t="n">
        <f aca="false">IF(X32&gt;0,IF(AJ32&gt;=0,AJ32-X32,0),0)</f>
        <v>0</v>
      </c>
      <c r="AM32" s="17"/>
      <c r="AN32" s="26"/>
      <c r="AO32" s="26"/>
      <c r="AQ32" s="27" t="n">
        <f aca="false">Z32</f>
        <v>0</v>
      </c>
      <c r="AR32" s="17" t="n">
        <f aca="false">AA32</f>
        <v>0</v>
      </c>
      <c r="AS32" s="26" t="str">
        <f aca="false">IF(AQ32="","",IF(AR32="",SUMIF($B$5:$B$220,"="&amp;AQ32,$AJ$5:$AJ$220),SUMIFS($AJ$5:$AJ$220, $B$5:$B$220, "="&amp;AQ32, $C$5:$C$220,"="&amp;AR32)))</f>
        <v/>
      </c>
      <c r="AT32" s="31" t="str">
        <f aca="false">IF(AU32&gt;0,"anular",IF(AU32&lt;0,"reforçar","nenhuma"))</f>
        <v>nenhuma</v>
      </c>
      <c r="AU32" s="26" t="n">
        <f aca="false">IF(AB32&gt;0,IF(AS32&gt;=0,AB32-AS32,0),0)</f>
        <v>0</v>
      </c>
    </row>
    <row r="33" customFormat="false" ht="15" hidden="false" customHeight="false" outlineLevel="0" collapsed="false">
      <c r="A33" s="15" t="n">
        <v>29</v>
      </c>
      <c r="B33" s="27"/>
      <c r="C33" s="17"/>
      <c r="D33" s="17"/>
      <c r="E33" s="17"/>
      <c r="F33" s="19"/>
      <c r="G33" s="20"/>
      <c r="H33" s="20"/>
      <c r="I33" s="19"/>
      <c r="J33" s="20"/>
      <c r="K33" s="20"/>
      <c r="L33" s="20"/>
      <c r="M33" s="20"/>
      <c r="N33" s="20"/>
      <c r="O33" s="20"/>
      <c r="P33" s="20"/>
      <c r="R33" s="21" t="n">
        <f aca="false">IF(SUM(F33:P33)&gt;0,ROUND(AVERAGE(F33:P33),4),0)</f>
        <v>0</v>
      </c>
      <c r="T33" s="22"/>
      <c r="U33" s="23"/>
      <c r="V33" s="24"/>
      <c r="W33" s="25"/>
      <c r="X33" s="26" t="n">
        <f aca="false">IF(T33&gt;0,T33,R33)*V33</f>
        <v>0</v>
      </c>
      <c r="Z33" s="27"/>
      <c r="AA33" s="17"/>
      <c r="AB33" s="26" t="n">
        <f aca="false">IF(Z33="",0,IF(AA33="",SUMIF($B$5:$B$220,"="&amp;Z33,$X$5:$X$220),SUMIFS($X$5:$X$220, $B$5:$B$220, "="&amp;Z33, $C$5:$C$220,"="&amp;AA33)))</f>
        <v>0</v>
      </c>
      <c r="AD33" s="29"/>
      <c r="AF33" s="17"/>
      <c r="AG33" s="26" t="n">
        <f aca="false">IF(AF33="",0,SUMIF($AD$5:$AD$220,"="&amp;AF33,$X$5:$X$220))</f>
        <v>0</v>
      </c>
      <c r="AI33" s="20"/>
      <c r="AJ33" s="26" t="n">
        <f aca="false">AI33*V33</f>
        <v>0</v>
      </c>
      <c r="AK33" s="30" t="n">
        <f aca="false">IF(X33&gt;0,IF(AJ33&gt;=0,AJ33-X33,0),0)</f>
        <v>0</v>
      </c>
      <c r="AM33" s="17" t="n">
        <f aca="false">AF33</f>
        <v>0</v>
      </c>
      <c r="AN33" s="26" t="n">
        <f aca="false">IF(AM33="","",SUMIF($AD$5:$AD$220,"="&amp;AM33,$AJ$5:$AJ$220))</f>
        <v>0</v>
      </c>
      <c r="AO33" s="26" t="n">
        <f aca="false">IF(AG33&gt;=0,IF(AN33&gt;=0,AG33-AN33,0),0)</f>
        <v>0</v>
      </c>
      <c r="AQ33" s="27" t="n">
        <f aca="false">Z33</f>
        <v>0</v>
      </c>
      <c r="AR33" s="17" t="n">
        <f aca="false">AA33</f>
        <v>0</v>
      </c>
      <c r="AS33" s="26" t="str">
        <f aca="false">IF(AQ33="","",IF(AR33="",SUMIF($B$5:$B$220,"="&amp;AQ33,$AJ$5:$AJ$220),SUMIFS($AJ$5:$AJ$220, $B$5:$B$220, "="&amp;AQ33, $C$5:$C$220,"="&amp;AR33)))</f>
        <v/>
      </c>
      <c r="AT33" s="31" t="str">
        <f aca="false">IF(AU33&gt;0,"anular",IF(AU33&lt;0,"reforçar","nenhuma"))</f>
        <v>nenhuma</v>
      </c>
      <c r="AU33" s="26" t="n">
        <f aca="false">IF(AB33&gt;0,IF(AS33&gt;=0,AB33-AS33,0),0)</f>
        <v>0</v>
      </c>
    </row>
    <row r="34" customFormat="false" ht="15" hidden="false" customHeight="false" outlineLevel="0" collapsed="false">
      <c r="A34" s="15" t="n">
        <v>30</v>
      </c>
      <c r="B34" s="27"/>
      <c r="C34" s="17"/>
      <c r="D34" s="17"/>
      <c r="E34" s="17"/>
      <c r="F34" s="20"/>
      <c r="G34" s="20"/>
      <c r="H34" s="20"/>
      <c r="I34" s="19"/>
      <c r="J34" s="20"/>
      <c r="K34" s="20"/>
      <c r="L34" s="20"/>
      <c r="M34" s="20"/>
      <c r="N34" s="20"/>
      <c r="O34" s="20"/>
      <c r="P34" s="20"/>
      <c r="R34" s="21" t="n">
        <f aca="false">IF(SUM(F34:P34)&gt;0,ROUND(AVERAGE(F34:P34),4),0)</f>
        <v>0</v>
      </c>
      <c r="T34" s="22"/>
      <c r="U34" s="23"/>
      <c r="V34" s="24"/>
      <c r="W34" s="25"/>
      <c r="X34" s="26" t="n">
        <f aca="false">IF(T34&gt;0,T34,R34)*V34</f>
        <v>0</v>
      </c>
      <c r="Z34" s="27"/>
      <c r="AA34" s="17"/>
      <c r="AB34" s="26" t="n">
        <f aca="false">IF(Z34="",0,IF(AA34="",SUMIF($B$5:$B$220,"="&amp;Z34,$X$5:$X$220),SUMIFS($X$5:$X$220, $B$5:$B$220, "="&amp;Z34, $C$5:$C$220,"="&amp;AA34)))</f>
        <v>0</v>
      </c>
      <c r="AD34" s="29"/>
      <c r="AF34" s="17"/>
      <c r="AG34" s="26" t="n">
        <f aca="false">IF(AF34="",0,SUMIF($AD$5:$AD$220,"="&amp;AF34,$X$5:$X$220))</f>
        <v>0</v>
      </c>
      <c r="AI34" s="20"/>
      <c r="AJ34" s="26" t="n">
        <f aca="false">AI34*V34</f>
        <v>0</v>
      </c>
      <c r="AK34" s="30" t="n">
        <f aca="false">IF(X34&gt;0,IF(AJ34&gt;=0,AJ34-X34,0),0)</f>
        <v>0</v>
      </c>
      <c r="AM34" s="17" t="n">
        <f aca="false">AF34</f>
        <v>0</v>
      </c>
      <c r="AN34" s="26" t="n">
        <f aca="false">IF(AM34="","",SUMIF($AD$5:$AD$220,"="&amp;AM34,$AJ$5:$AJ$220))</f>
        <v>0</v>
      </c>
      <c r="AO34" s="26" t="n">
        <f aca="false">IF(AG34&gt;=0,IF(AN34&gt;=0,AG34-AN34,0),0)</f>
        <v>0</v>
      </c>
      <c r="AQ34" s="27" t="n">
        <f aca="false">Z34</f>
        <v>0</v>
      </c>
      <c r="AR34" s="17" t="n">
        <f aca="false">AA34</f>
        <v>0</v>
      </c>
      <c r="AS34" s="26" t="str">
        <f aca="false">IF(AQ34="","",IF(AR34="",SUMIF($B$5:$B$220,"="&amp;AQ34,$AJ$5:$AJ$220),SUMIFS($AJ$5:$AJ$220, $B$5:$B$220, "="&amp;AQ34, $C$5:$C$220,"="&amp;AR34)))</f>
        <v/>
      </c>
      <c r="AT34" s="31" t="str">
        <f aca="false">IF(AU34&gt;0,"anular",IF(AU34&lt;0,"reforçar","nenhuma"))</f>
        <v>nenhuma</v>
      </c>
      <c r="AU34" s="26" t="n">
        <f aca="false">IF(AB34&gt;0,IF(AS34&gt;=0,AB34-AS34,0),0)</f>
        <v>0</v>
      </c>
    </row>
    <row r="35" customFormat="false" ht="15" hidden="false" customHeight="false" outlineLevel="0" collapsed="false">
      <c r="A35" s="15" t="n">
        <v>31</v>
      </c>
      <c r="B35" s="27"/>
      <c r="C35" s="17"/>
      <c r="D35" s="17"/>
      <c r="E35" s="17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R35" s="21" t="n">
        <f aca="false">IF(SUM(F35:P35)&gt;0,ROUND(AVERAGE(F35:P35),4),0)</f>
        <v>0</v>
      </c>
      <c r="T35" s="22" t="n">
        <v>0</v>
      </c>
      <c r="U35" s="39"/>
      <c r="V35" s="40"/>
      <c r="W35" s="39"/>
      <c r="X35" s="26" t="n">
        <f aca="false">IF(T35&gt;0,T35,R35)*V35</f>
        <v>0</v>
      </c>
      <c r="Z35" s="27"/>
      <c r="AA35" s="17"/>
      <c r="AB35" s="26" t="n">
        <f aca="false">IF(Z35="",0,IF(AA35="",SUMIF($B$5:$B$220,"="&amp;Z35,$X$5:$X$220),SUMIFS($X$5:$X$220, $B$5:$B$220, "="&amp;Z35, $C$5:$C$220,"="&amp;AA35)))</f>
        <v>0</v>
      </c>
      <c r="AD35" s="29"/>
      <c r="AF35" s="17"/>
      <c r="AG35" s="26" t="n">
        <f aca="false">IF(AF35="",0,SUMIF($AD$5:$AD$220,"="&amp;AF35,$X$5:$X$220))</f>
        <v>0</v>
      </c>
      <c r="AI35" s="20"/>
      <c r="AJ35" s="26" t="n">
        <f aca="false">AI35*V35</f>
        <v>0</v>
      </c>
      <c r="AK35" s="30" t="n">
        <f aca="false">IF(X35&gt;0,IF(AJ35&gt;=0,AJ35-X35,0),0)</f>
        <v>0</v>
      </c>
      <c r="AM35" s="17"/>
      <c r="AN35" s="26"/>
      <c r="AO35" s="26"/>
      <c r="AQ35" s="27" t="n">
        <f aca="false">Z35</f>
        <v>0</v>
      </c>
      <c r="AR35" s="17" t="n">
        <f aca="false">AA35</f>
        <v>0</v>
      </c>
      <c r="AS35" s="26" t="str">
        <f aca="false">IF(AQ35="","",IF(AR35="",SUMIF($B$5:$B$220,"="&amp;AQ35,$AJ$5:$AJ$220),SUMIFS($AJ$5:$AJ$220, $B$5:$B$220, "="&amp;AQ35, $C$5:$C$220,"="&amp;AR35)))</f>
        <v/>
      </c>
      <c r="AT35" s="31" t="str">
        <f aca="false">IF(AU35&gt;0,"anular",IF(AU35&lt;0,"reforçar","nenhuma"))</f>
        <v>nenhuma</v>
      </c>
      <c r="AU35" s="26" t="n">
        <f aca="false">IF(AB35&gt;0,IF(AS35&gt;=0,AB35-AS35,0),0)</f>
        <v>0</v>
      </c>
    </row>
    <row r="36" customFormat="false" ht="15" hidden="false" customHeight="false" outlineLevel="0" collapsed="false">
      <c r="A36" s="15" t="n">
        <v>32</v>
      </c>
      <c r="B36" s="27"/>
      <c r="C36" s="17"/>
      <c r="D36" s="17"/>
      <c r="E36" s="17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R36" s="21" t="n">
        <f aca="false">IF(SUM(F36:P36)&gt;0,ROUND(AVERAGE(F36:P36),4),0)</f>
        <v>0</v>
      </c>
      <c r="T36" s="22" t="n">
        <v>0</v>
      </c>
      <c r="U36" s="39"/>
      <c r="V36" s="41"/>
      <c r="W36" s="39"/>
      <c r="X36" s="26" t="n">
        <f aca="false">IF(T36&gt;0,T36,R36)*V36</f>
        <v>0</v>
      </c>
      <c r="Z36" s="27"/>
      <c r="AA36" s="17"/>
      <c r="AB36" s="26" t="n">
        <f aca="false">IF(Z36="",0,IF(AA36="",SUMIF($B$5:$B$220,"="&amp;Z36,$X$5:$X$220),SUMIFS($X$5:$X$220, $B$5:$B$220, "="&amp;Z36, $C$5:$C$220,"="&amp;AA36)))</f>
        <v>0</v>
      </c>
      <c r="AD36" s="29"/>
      <c r="AF36" s="17"/>
      <c r="AG36" s="26" t="n">
        <f aca="false">IF(AF36="",0,SUMIF($AD$5:$AD$220,"="&amp;AF36,$X$5:$X$220))</f>
        <v>0</v>
      </c>
      <c r="AI36" s="20"/>
      <c r="AJ36" s="26" t="n">
        <f aca="false">AI36*V36</f>
        <v>0</v>
      </c>
      <c r="AK36" s="30" t="n">
        <f aca="false">IF(X36&gt;0,IF(AJ36&gt;=0,AJ36-X36,0),0)</f>
        <v>0</v>
      </c>
      <c r="AM36" s="17"/>
      <c r="AN36" s="26"/>
      <c r="AO36" s="26"/>
      <c r="AQ36" s="27" t="n">
        <f aca="false">Z36</f>
        <v>0</v>
      </c>
      <c r="AR36" s="17" t="n">
        <f aca="false">AA36</f>
        <v>0</v>
      </c>
      <c r="AS36" s="26" t="str">
        <f aca="false">IF(AQ36="","",IF(AR36="",SUMIF($B$5:$B$220,"="&amp;AQ36,$AJ$5:$AJ$220),SUMIFS($AJ$5:$AJ$220, $B$5:$B$220, "="&amp;AQ36, $C$5:$C$220,"="&amp;AR36)))</f>
        <v/>
      </c>
      <c r="AT36" s="31" t="str">
        <f aca="false">IF(AU36&gt;0,"anular",IF(AU36&lt;0,"reforçar","nenhuma"))</f>
        <v>nenhuma</v>
      </c>
      <c r="AU36" s="26" t="n">
        <f aca="false">IF(AB36&gt;0,IF(AS36&gt;=0,AB36-AS36,0),0)</f>
        <v>0</v>
      </c>
    </row>
    <row r="37" customFormat="false" ht="15" hidden="false" customHeight="false" outlineLevel="0" collapsed="false">
      <c r="A37" s="15" t="n">
        <v>33</v>
      </c>
      <c r="B37" s="27"/>
      <c r="C37" s="17"/>
      <c r="D37" s="17"/>
      <c r="E37" s="17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R37" s="21" t="n">
        <f aca="false">IF(SUM(F37:P37)&gt;0,ROUND(AVERAGE(F37:P37),4),0)</f>
        <v>0</v>
      </c>
      <c r="T37" s="22" t="n">
        <v>0</v>
      </c>
      <c r="U37" s="39"/>
      <c r="V37" s="41"/>
      <c r="W37" s="39"/>
      <c r="X37" s="26" t="n">
        <f aca="false">IF(T37&gt;0,T37,R37)*V37</f>
        <v>0</v>
      </c>
      <c r="Z37" s="27"/>
      <c r="AA37" s="17"/>
      <c r="AB37" s="26" t="n">
        <f aca="false">IF(Z37="",0,IF(AA37="",SUMIF($B$5:$B$220,"="&amp;Z37,$X$5:$X$220),SUMIFS($X$5:$X$220, $B$5:$B$220, "="&amp;Z37, $C$5:$C$220,"="&amp;AA37)))</f>
        <v>0</v>
      </c>
      <c r="AD37" s="29"/>
      <c r="AF37" s="17"/>
      <c r="AG37" s="26" t="n">
        <f aca="false">IF(AF37="",0,SUMIF($AD$5:$AD$220,"="&amp;AF37,$X$5:$X$220))</f>
        <v>0</v>
      </c>
      <c r="AI37" s="20"/>
      <c r="AJ37" s="26" t="n">
        <f aca="false">AI37*V37</f>
        <v>0</v>
      </c>
      <c r="AK37" s="30" t="n">
        <f aca="false">IF(X37&gt;0,IF(AJ37&gt;=0,AJ37-X37,0),0)</f>
        <v>0</v>
      </c>
      <c r="AM37" s="17"/>
      <c r="AN37" s="26"/>
      <c r="AO37" s="26"/>
      <c r="AQ37" s="27" t="n">
        <f aca="false">Z37</f>
        <v>0</v>
      </c>
      <c r="AR37" s="17" t="n">
        <f aca="false">AA37</f>
        <v>0</v>
      </c>
      <c r="AS37" s="26" t="str">
        <f aca="false">IF(AQ37="","",IF(AR37="",SUMIF($B$5:$B$220,"="&amp;AQ37,$AJ$5:$AJ$220),SUMIFS($AJ$5:$AJ$220, $B$5:$B$220, "="&amp;AQ37, $C$5:$C$220,"="&amp;AR37)))</f>
        <v/>
      </c>
      <c r="AT37" s="31" t="str">
        <f aca="false">IF(AU37&gt;0,"anular",IF(AU37&lt;0,"reforçar","nenhuma"))</f>
        <v>nenhuma</v>
      </c>
      <c r="AU37" s="26" t="n">
        <f aca="false">IF(AB37&gt;0,IF(AS37&gt;=0,AB37-AS37,0),0)</f>
        <v>0</v>
      </c>
    </row>
    <row r="38" customFormat="false" ht="15" hidden="false" customHeight="false" outlineLevel="0" collapsed="false">
      <c r="A38" s="15" t="n">
        <v>34</v>
      </c>
      <c r="B38" s="27"/>
      <c r="C38" s="17"/>
      <c r="D38" s="17"/>
      <c r="E38" s="17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R38" s="21" t="n">
        <f aca="false">IF(SUM(F38:P38)&gt;0,ROUND(AVERAGE(F38:P38),4),0)</f>
        <v>0</v>
      </c>
      <c r="T38" s="22" t="n">
        <v>0</v>
      </c>
      <c r="U38" s="39"/>
      <c r="V38" s="41"/>
      <c r="W38" s="39"/>
      <c r="X38" s="26" t="n">
        <f aca="false">IF(T38&gt;0,T38,R38)*V38</f>
        <v>0</v>
      </c>
      <c r="Z38" s="27"/>
      <c r="AA38" s="17"/>
      <c r="AB38" s="26" t="n">
        <f aca="false">IF(Z38="",0,IF(AA38="",SUMIF($B$5:$B$220,"="&amp;Z38,$X$5:$X$220),SUMIFS($X$5:$X$220, $B$5:$B$220, "="&amp;Z38, $C$5:$C$220,"="&amp;AA38)))</f>
        <v>0</v>
      </c>
      <c r="AD38" s="29"/>
      <c r="AF38" s="17"/>
      <c r="AG38" s="26" t="n">
        <f aca="false">IF(AF38="",0,SUMIF($AD$5:$AD$220,"="&amp;AF38,$X$5:$X$220))</f>
        <v>0</v>
      </c>
      <c r="AI38" s="20"/>
      <c r="AJ38" s="26" t="n">
        <f aca="false">AI38*V38</f>
        <v>0</v>
      </c>
      <c r="AK38" s="30" t="n">
        <f aca="false">IF(X38&gt;0,IF(AJ38&gt;=0,AJ38-X38,0),0)</f>
        <v>0</v>
      </c>
      <c r="AM38" s="17"/>
      <c r="AN38" s="26"/>
      <c r="AO38" s="26"/>
      <c r="AQ38" s="27" t="n">
        <f aca="false">Z38</f>
        <v>0</v>
      </c>
      <c r="AR38" s="17" t="n">
        <f aca="false">AA38</f>
        <v>0</v>
      </c>
      <c r="AS38" s="26" t="str">
        <f aca="false">IF(AQ38="","",IF(AR38="",SUMIF($B$5:$B$220,"="&amp;AQ38,$AJ$5:$AJ$220),SUMIFS($AJ$5:$AJ$220, $B$5:$B$220, "="&amp;AQ38, $C$5:$C$220,"="&amp;AR38)))</f>
        <v/>
      </c>
      <c r="AT38" s="31" t="str">
        <f aca="false">IF(AU38&gt;0,"anular",IF(AU38&lt;0,"reforçar","nenhuma"))</f>
        <v>nenhuma</v>
      </c>
      <c r="AU38" s="26" t="n">
        <f aca="false">IF(AB38&gt;0,IF(AS38&gt;=0,AB38-AS38,0),0)</f>
        <v>0</v>
      </c>
    </row>
    <row r="39" customFormat="false" ht="15" hidden="false" customHeight="false" outlineLevel="0" collapsed="false">
      <c r="A39" s="15" t="n">
        <v>35</v>
      </c>
      <c r="B39" s="27"/>
      <c r="C39" s="17"/>
      <c r="D39" s="17"/>
      <c r="E39" s="17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R39" s="21" t="n">
        <f aca="false">IF(SUM(F39:P39)&gt;0,ROUND(AVERAGE(F39:P39),4),0)</f>
        <v>0</v>
      </c>
      <c r="T39" s="22" t="n">
        <v>0</v>
      </c>
      <c r="U39" s="39"/>
      <c r="V39" s="41"/>
      <c r="W39" s="39"/>
      <c r="X39" s="26" t="n">
        <f aca="false">IF(T39&gt;0,T39,R39)*V39</f>
        <v>0</v>
      </c>
      <c r="Z39" s="27"/>
      <c r="AA39" s="17"/>
      <c r="AB39" s="26" t="n">
        <f aca="false">IF(Z39="",0,IF(AA39="",SUMIF($B$5:$B$220,"="&amp;Z39,$X$5:$X$220),SUMIFS($X$5:$X$220, $B$5:$B$220, "="&amp;Z39, $C$5:$C$220,"="&amp;AA39)))</f>
        <v>0</v>
      </c>
      <c r="AD39" s="29"/>
      <c r="AF39" s="17"/>
      <c r="AG39" s="26" t="n">
        <f aca="false">IF(AF39="",0,SUMIF($AD$5:$AD$220,"="&amp;AF39,$X$5:$X$220))</f>
        <v>0</v>
      </c>
      <c r="AI39" s="20"/>
      <c r="AJ39" s="26" t="n">
        <f aca="false">AI39*V39</f>
        <v>0</v>
      </c>
      <c r="AK39" s="30" t="n">
        <f aca="false">IF(X39&gt;0,IF(AJ39&gt;=0,AJ39-X39,0),0)</f>
        <v>0</v>
      </c>
      <c r="AM39" s="17"/>
      <c r="AN39" s="26"/>
      <c r="AO39" s="26"/>
      <c r="AQ39" s="27" t="n">
        <f aca="false">Z39</f>
        <v>0</v>
      </c>
      <c r="AR39" s="17" t="n">
        <f aca="false">AA39</f>
        <v>0</v>
      </c>
      <c r="AS39" s="26" t="str">
        <f aca="false">IF(AQ39="","",IF(AR39="",SUMIF($B$5:$B$220,"="&amp;AQ39,$AJ$5:$AJ$220),SUMIFS($AJ$5:$AJ$220, $B$5:$B$220, "="&amp;AQ39, $C$5:$C$220,"="&amp;AR39)))</f>
        <v/>
      </c>
      <c r="AT39" s="31" t="str">
        <f aca="false">IF(AU39&gt;0,"anular",IF(AU39&lt;0,"reforçar","nenhuma"))</f>
        <v>nenhuma</v>
      </c>
      <c r="AU39" s="26" t="n">
        <f aca="false">IF(AB39&gt;0,IF(AS39&gt;=0,AB39-AS39,0),0)</f>
        <v>0</v>
      </c>
    </row>
    <row r="40" customFormat="false" ht="15" hidden="false" customHeight="false" outlineLevel="0" collapsed="false">
      <c r="A40" s="15" t="n">
        <v>36</v>
      </c>
      <c r="B40" s="27"/>
      <c r="C40" s="17"/>
      <c r="D40" s="17"/>
      <c r="E40" s="17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R40" s="21" t="n">
        <f aca="false">IF(SUM(F40:P40)&gt;0,ROUND(AVERAGE(F40:P40),4),0)</f>
        <v>0</v>
      </c>
      <c r="T40" s="22" t="n">
        <v>0</v>
      </c>
      <c r="U40" s="39"/>
      <c r="V40" s="41"/>
      <c r="W40" s="39"/>
      <c r="X40" s="26" t="n">
        <f aca="false">IF(T40&gt;0,T40,R40)*V40</f>
        <v>0</v>
      </c>
      <c r="Z40" s="27"/>
      <c r="AA40" s="17"/>
      <c r="AB40" s="26" t="n">
        <f aca="false">IF(Z40="",0,IF(AA40="",SUMIF($B$5:$B$220,"="&amp;Z40,$X$5:$X$220),SUMIFS($X$5:$X$220, $B$5:$B$220, "="&amp;Z40, $C$5:$C$220,"="&amp;AA40)))</f>
        <v>0</v>
      </c>
      <c r="AD40" s="29"/>
      <c r="AF40" s="17"/>
      <c r="AG40" s="26" t="n">
        <f aca="false">IF(AF40="",0,SUMIF($AD$5:$AD$220,"="&amp;AF40,$X$5:$X$220))</f>
        <v>0</v>
      </c>
      <c r="AI40" s="20"/>
      <c r="AJ40" s="26" t="n">
        <f aca="false">AI40*V40</f>
        <v>0</v>
      </c>
      <c r="AK40" s="30" t="n">
        <f aca="false">IF(X40&gt;0,IF(AJ40&gt;=0,AJ40-X40,0),0)</f>
        <v>0</v>
      </c>
      <c r="AM40" s="17"/>
      <c r="AN40" s="26"/>
      <c r="AO40" s="26"/>
      <c r="AQ40" s="27" t="n">
        <f aca="false">Z40</f>
        <v>0</v>
      </c>
      <c r="AR40" s="17" t="n">
        <f aca="false">AA40</f>
        <v>0</v>
      </c>
      <c r="AS40" s="26" t="str">
        <f aca="false">IF(AQ40="","",IF(AR40="",SUMIF($B$5:$B$220,"="&amp;AQ40,$AJ$5:$AJ$220),SUMIFS($AJ$5:$AJ$220, $B$5:$B$220, "="&amp;AQ40, $C$5:$C$220,"="&amp;AR40)))</f>
        <v/>
      </c>
      <c r="AT40" s="31" t="str">
        <f aca="false">IF(AU40&gt;0,"anular",IF(AU40&lt;0,"reforçar","nenhuma"))</f>
        <v>nenhuma</v>
      </c>
      <c r="AU40" s="26" t="n">
        <f aca="false">IF(AB40&gt;0,IF(AS40&gt;=0,AB40-AS40,0),0)</f>
        <v>0</v>
      </c>
    </row>
    <row r="41" customFormat="false" ht="15" hidden="false" customHeight="false" outlineLevel="0" collapsed="false">
      <c r="A41" s="15" t="n">
        <v>37</v>
      </c>
      <c r="B41" s="27"/>
      <c r="C41" s="17"/>
      <c r="D41" s="17"/>
      <c r="E41" s="17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R41" s="21" t="n">
        <f aca="false">IF(SUM(F41:P41)&gt;0,ROUND(AVERAGE(F41:P41),4),0)</f>
        <v>0</v>
      </c>
      <c r="T41" s="22" t="n">
        <v>0</v>
      </c>
      <c r="U41" s="39"/>
      <c r="V41" s="41"/>
      <c r="W41" s="39"/>
      <c r="X41" s="26" t="n">
        <f aca="false">IF(T41&gt;0,T41,R41)*V41</f>
        <v>0</v>
      </c>
      <c r="Z41" s="27"/>
      <c r="AA41" s="17"/>
      <c r="AB41" s="26" t="n">
        <f aca="false">IF(Z41="",0,IF(AA41="",SUMIF($B$5:$B$220,"="&amp;Z41,$X$5:$X$220),SUMIFS($X$5:$X$220, $B$5:$B$220, "="&amp;Z41, $C$5:$C$220,"="&amp;AA41)))</f>
        <v>0</v>
      </c>
      <c r="AD41" s="29"/>
      <c r="AF41" s="17"/>
      <c r="AG41" s="26" t="n">
        <f aca="false">IF(AF41="",0,SUMIF($AD$5:$AD$220,"="&amp;AF41,$X$5:$X$220))</f>
        <v>0</v>
      </c>
      <c r="AI41" s="20"/>
      <c r="AJ41" s="26" t="n">
        <f aca="false">AI41*V41</f>
        <v>0</v>
      </c>
      <c r="AK41" s="30" t="n">
        <f aca="false">IF(X41&gt;0,IF(AJ41&gt;=0,AJ41-X41,0),0)</f>
        <v>0</v>
      </c>
      <c r="AM41" s="17" t="n">
        <f aca="false">AF41</f>
        <v>0</v>
      </c>
      <c r="AN41" s="26" t="n">
        <f aca="false">IF(AM41="","",SUMIF($AD$5:$AD$220,"="&amp;AM41,$AJ$5:$AJ$220))</f>
        <v>0</v>
      </c>
      <c r="AO41" s="26" t="n">
        <f aca="false">IF(AG41&gt;=0,IF(AN41&gt;=0,AG41-AN41,0),0)</f>
        <v>0</v>
      </c>
      <c r="AQ41" s="27" t="n">
        <f aca="false">Z41</f>
        <v>0</v>
      </c>
      <c r="AR41" s="17" t="n">
        <f aca="false">AA41</f>
        <v>0</v>
      </c>
      <c r="AS41" s="26" t="str">
        <f aca="false">IF(AQ41="","",IF(AR41="",SUMIF($B$5:$B$220,"="&amp;AQ41,$AJ$5:$AJ$220),SUMIFS($AJ$5:$AJ$220, $B$5:$B$220, "="&amp;AQ41, $C$5:$C$220,"="&amp;AR41)))</f>
        <v/>
      </c>
      <c r="AT41" s="31" t="str">
        <f aca="false">IF(AU41&gt;0,"anular",IF(AU41&lt;0,"reforçar","nenhuma"))</f>
        <v>nenhuma</v>
      </c>
      <c r="AU41" s="26" t="n">
        <f aca="false">IF(AB41&gt;0,IF(AS41&gt;=0,AB41-AS41,0),0)</f>
        <v>0</v>
      </c>
    </row>
    <row r="42" customFormat="false" ht="15" hidden="false" customHeight="false" outlineLevel="0" collapsed="false">
      <c r="A42" s="15" t="n">
        <v>38</v>
      </c>
      <c r="B42" s="27"/>
      <c r="C42" s="17"/>
      <c r="D42" s="17"/>
      <c r="E42" s="17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R42" s="21" t="n">
        <f aca="false">IF(SUM(F42:P42)&gt;0,ROUND(AVERAGE(F42:P42),4),0)</f>
        <v>0</v>
      </c>
      <c r="T42" s="22" t="n">
        <v>0</v>
      </c>
      <c r="U42" s="39"/>
      <c r="V42" s="41"/>
      <c r="W42" s="39"/>
      <c r="X42" s="26" t="n">
        <f aca="false">IF(T42&gt;0,T42,R42)*V42</f>
        <v>0</v>
      </c>
      <c r="Z42" s="27"/>
      <c r="AA42" s="17"/>
      <c r="AB42" s="26" t="n">
        <f aca="false">IF(Z42="",0,IF(AA42="",SUMIF($B$5:$B$220,"="&amp;Z42,$X$5:$X$220),SUMIFS($X$5:$X$220, $B$5:$B$220, "="&amp;Z42, $C$5:$C$220,"="&amp;AA42)))</f>
        <v>0</v>
      </c>
      <c r="AD42" s="29"/>
      <c r="AF42" s="17"/>
      <c r="AG42" s="26" t="n">
        <f aca="false">IF(AF42="",0,SUMIF($AD$5:$AD$220,"="&amp;AF42,$X$5:$X$220))</f>
        <v>0</v>
      </c>
      <c r="AI42" s="20"/>
      <c r="AJ42" s="26" t="n">
        <f aca="false">AI42*V42</f>
        <v>0</v>
      </c>
      <c r="AK42" s="30" t="n">
        <f aca="false">IF(X42&gt;0,IF(AJ42&gt;=0,AJ42-X42,0),0)</f>
        <v>0</v>
      </c>
      <c r="AM42" s="17" t="n">
        <f aca="false">AF42</f>
        <v>0</v>
      </c>
      <c r="AN42" s="26" t="n">
        <f aca="false">IF(AM42="","",SUMIF($AD$5:$AD$220,"="&amp;AM42,$AJ$5:$AJ$220))</f>
        <v>0</v>
      </c>
      <c r="AO42" s="26" t="n">
        <f aca="false">IF(AG42&gt;=0,IF(AN42&gt;=0,AG42-AN42,0),0)</f>
        <v>0</v>
      </c>
      <c r="AQ42" s="27" t="n">
        <f aca="false">Z42</f>
        <v>0</v>
      </c>
      <c r="AR42" s="17" t="n">
        <f aca="false">AA42</f>
        <v>0</v>
      </c>
      <c r="AS42" s="26" t="str">
        <f aca="false">IF(AQ42="","",IF(AR42="",SUMIF($B$5:$B$220,"="&amp;AQ42,$AJ$5:$AJ$220),SUMIFS($AJ$5:$AJ$220, $B$5:$B$220, "="&amp;AQ42, $C$5:$C$220,"="&amp;AR42)))</f>
        <v/>
      </c>
      <c r="AT42" s="31" t="str">
        <f aca="false">IF(AU42&gt;0,"anular",IF(AU42&lt;0,"reforçar","nenhuma"))</f>
        <v>nenhuma</v>
      </c>
      <c r="AU42" s="26" t="n">
        <f aca="false">IF(AB42&gt;0,IF(AS42&gt;=0,AB42-AS42,0),0)</f>
        <v>0</v>
      </c>
    </row>
    <row r="43" customFormat="false" ht="15" hidden="false" customHeight="false" outlineLevel="0" collapsed="false">
      <c r="A43" s="15" t="n">
        <v>39</v>
      </c>
      <c r="B43" s="27"/>
      <c r="C43" s="17"/>
      <c r="D43" s="17"/>
      <c r="E43" s="17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R43" s="21" t="n">
        <f aca="false">IF(SUM(F43:P43)&gt;0,ROUND(AVERAGE(F43:P43),4),0)</f>
        <v>0</v>
      </c>
      <c r="T43" s="22" t="n">
        <v>0</v>
      </c>
      <c r="U43" s="39"/>
      <c r="V43" s="41"/>
      <c r="W43" s="39"/>
      <c r="X43" s="26" t="n">
        <f aca="false">IF(T43&gt;0,T43,R43)*V43</f>
        <v>0</v>
      </c>
      <c r="Z43" s="27"/>
      <c r="AA43" s="17"/>
      <c r="AB43" s="26" t="n">
        <f aca="false">IF(Z43="",0,IF(AA43="",SUMIF($B$5:$B$220,"="&amp;Z43,$X$5:$X$220),SUMIFS($X$5:$X$220, $B$5:$B$220, "="&amp;Z43, $C$5:$C$220,"="&amp;AA43)))</f>
        <v>0</v>
      </c>
      <c r="AD43" s="29"/>
      <c r="AF43" s="17"/>
      <c r="AG43" s="26" t="n">
        <f aca="false">IF(AF43="",0,SUMIF($AD$5:$AD$220,"="&amp;AF43,$X$5:$X$220))</f>
        <v>0</v>
      </c>
      <c r="AI43" s="20"/>
      <c r="AJ43" s="26" t="n">
        <f aca="false">AI43*V43</f>
        <v>0</v>
      </c>
      <c r="AK43" s="30" t="n">
        <f aca="false">IF(X43&gt;0,IF(AJ43&gt;=0,AJ43-X43,0),0)</f>
        <v>0</v>
      </c>
      <c r="AM43" s="17" t="n">
        <f aca="false">AF43</f>
        <v>0</v>
      </c>
      <c r="AN43" s="26" t="n">
        <f aca="false">IF(AM43="","",SUMIF($AD$5:$AD$220,"="&amp;AM43,$AJ$5:$AJ$220))</f>
        <v>0</v>
      </c>
      <c r="AO43" s="26" t="n">
        <f aca="false">IF(AG43&gt;=0,IF(AN43&gt;=0,AG43-AN43,0),0)</f>
        <v>0</v>
      </c>
      <c r="AQ43" s="27" t="n">
        <f aca="false">Z43</f>
        <v>0</v>
      </c>
      <c r="AR43" s="17" t="n">
        <f aca="false">AA43</f>
        <v>0</v>
      </c>
      <c r="AS43" s="26" t="str">
        <f aca="false">IF(AQ43="","",IF(AR43="",SUMIF($B$5:$B$220,"="&amp;AQ43,$AJ$5:$AJ$220),SUMIFS($AJ$5:$AJ$220, $B$5:$B$220, "="&amp;AQ43, $C$5:$C$220,"="&amp;AR43)))</f>
        <v/>
      </c>
      <c r="AT43" s="31" t="str">
        <f aca="false">IF(AU43&gt;0,"anular",IF(AU43&lt;0,"reforçar","nenhuma"))</f>
        <v>nenhuma</v>
      </c>
      <c r="AU43" s="26" t="n">
        <f aca="false">IF(AB43&gt;0,IF(AS43&gt;=0,AB43-AS43,0),0)</f>
        <v>0</v>
      </c>
    </row>
    <row r="44" customFormat="false" ht="15" hidden="false" customHeight="false" outlineLevel="0" collapsed="false">
      <c r="A44" s="15" t="n">
        <v>40</v>
      </c>
      <c r="B44" s="27"/>
      <c r="C44" s="17"/>
      <c r="D44" s="17"/>
      <c r="E44" s="17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R44" s="21" t="n">
        <f aca="false">IF(SUM(F44:P44)&gt;0,ROUND(AVERAGE(F44:P44),4),0)</f>
        <v>0</v>
      </c>
      <c r="T44" s="22" t="n">
        <v>0</v>
      </c>
      <c r="U44" s="39"/>
      <c r="V44" s="41"/>
      <c r="W44" s="39"/>
      <c r="X44" s="26" t="n">
        <f aca="false">IF(T44&gt;0,T44,R44)*V44</f>
        <v>0</v>
      </c>
      <c r="Z44" s="27"/>
      <c r="AA44" s="17"/>
      <c r="AB44" s="26" t="n">
        <f aca="false">IF(Z44="",0,IF(AA44="",SUMIF($B$5:$B$220,"="&amp;Z44,$X$5:$X$220),SUMIFS($X$5:$X$220, $B$5:$B$220, "="&amp;Z44, $C$5:$C$220,"="&amp;AA44)))</f>
        <v>0</v>
      </c>
      <c r="AD44" s="29"/>
      <c r="AF44" s="17"/>
      <c r="AG44" s="26" t="n">
        <f aca="false">IF(AF44="",0,SUMIF($AD$5:$AD$220,"="&amp;AF44,$X$5:$X$220))</f>
        <v>0</v>
      </c>
      <c r="AI44" s="20"/>
      <c r="AJ44" s="26" t="n">
        <f aca="false">AI44*V44</f>
        <v>0</v>
      </c>
      <c r="AK44" s="30" t="n">
        <f aca="false">IF(X44&gt;0,IF(AJ44&gt;=0,AJ44-X44,0),0)</f>
        <v>0</v>
      </c>
      <c r="AM44" s="17"/>
      <c r="AN44" s="26"/>
      <c r="AO44" s="26"/>
      <c r="AQ44" s="27" t="n">
        <f aca="false">Z44</f>
        <v>0</v>
      </c>
      <c r="AR44" s="17" t="n">
        <f aca="false">AA44</f>
        <v>0</v>
      </c>
      <c r="AS44" s="26"/>
      <c r="AT44" s="31" t="str">
        <f aca="false">IF(AU44&gt;0,"anular",IF(AU44&lt;0,"reforçar","nenhuma"))</f>
        <v>nenhuma</v>
      </c>
      <c r="AU44" s="26"/>
    </row>
    <row r="45" customFormat="false" ht="15" hidden="false" customHeight="false" outlineLevel="0" collapsed="false">
      <c r="A45" s="15" t="n">
        <v>41</v>
      </c>
      <c r="B45" s="27"/>
      <c r="C45" s="17"/>
      <c r="D45" s="17"/>
      <c r="E45" s="17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R45" s="21" t="n">
        <f aca="false">IF(SUM(F45:P45)&gt;0,ROUND(AVERAGE(F45:P45),4),0)</f>
        <v>0</v>
      </c>
      <c r="T45" s="22" t="n">
        <v>0</v>
      </c>
      <c r="U45" s="39"/>
      <c r="V45" s="41"/>
      <c r="W45" s="39"/>
      <c r="X45" s="26" t="n">
        <f aca="false">IF(T45&gt;0,T45,R45)*V45</f>
        <v>0</v>
      </c>
      <c r="Z45" s="27"/>
      <c r="AA45" s="17"/>
      <c r="AB45" s="26" t="n">
        <f aca="false">IF(Z45="",0,IF(AA45="",SUMIF($B$5:$B$220,"="&amp;Z45,$X$5:$X$220),SUMIFS($X$5:$X$220, $B$5:$B$220, "="&amp;Z45, $C$5:$C$220,"="&amp;AA45)))</f>
        <v>0</v>
      </c>
      <c r="AD45" s="29"/>
      <c r="AF45" s="17"/>
      <c r="AG45" s="26" t="n">
        <f aca="false">IF(AF45="",0,SUMIF($AD$5:$AD$220,"="&amp;AF45,$X$5:$X$220))</f>
        <v>0</v>
      </c>
      <c r="AI45" s="20"/>
      <c r="AJ45" s="26" t="n">
        <f aca="false">AI45*V45</f>
        <v>0</v>
      </c>
      <c r="AK45" s="30" t="n">
        <f aca="false">IF(X45&gt;0,IF(AJ45&gt;=0,AJ45-X45,0),0)</f>
        <v>0</v>
      </c>
      <c r="AM45" s="17"/>
      <c r="AN45" s="26"/>
      <c r="AO45" s="26"/>
      <c r="AQ45" s="27" t="n">
        <f aca="false">Z45</f>
        <v>0</v>
      </c>
      <c r="AR45" s="17" t="n">
        <f aca="false">AA45</f>
        <v>0</v>
      </c>
      <c r="AS45" s="26"/>
      <c r="AT45" s="31" t="str">
        <f aca="false">IF(AU45&gt;0,"anular",IF(AU45&lt;0,"reforçar","nenhuma"))</f>
        <v>nenhuma</v>
      </c>
      <c r="AU45" s="26"/>
    </row>
    <row r="46" customFormat="false" ht="15" hidden="false" customHeight="false" outlineLevel="0" collapsed="false">
      <c r="A46" s="15" t="n">
        <v>42</v>
      </c>
      <c r="B46" s="27"/>
      <c r="C46" s="17"/>
      <c r="D46" s="17"/>
      <c r="E46" s="17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R46" s="21" t="n">
        <f aca="false">IF(SUM(F46:P46)&gt;0,ROUND(AVERAGE(F46:P46),4),0)</f>
        <v>0</v>
      </c>
      <c r="T46" s="22" t="n">
        <v>0</v>
      </c>
      <c r="U46" s="39"/>
      <c r="V46" s="41"/>
      <c r="W46" s="39"/>
      <c r="X46" s="26" t="n">
        <f aca="false">IF(T46&gt;0,T46,R46)*V46</f>
        <v>0</v>
      </c>
      <c r="Z46" s="27"/>
      <c r="AA46" s="17"/>
      <c r="AB46" s="26" t="n">
        <f aca="false">IF(Z46="",0,IF(AA46="",SUMIF($B$5:$B$220,"="&amp;Z46,$X$5:$X$220),SUMIFS($X$5:$X$220, $B$5:$B$220, "="&amp;Z46, $C$5:$C$220,"="&amp;AA46)))</f>
        <v>0</v>
      </c>
      <c r="AD46" s="29"/>
      <c r="AF46" s="17"/>
      <c r="AG46" s="26" t="n">
        <f aca="false">IF(AF46="",0,SUMIF($AD$5:$AD$220,"="&amp;AF46,$X$5:$X$220))</f>
        <v>0</v>
      </c>
      <c r="AI46" s="20"/>
      <c r="AJ46" s="26" t="n">
        <f aca="false">AI46*V46</f>
        <v>0</v>
      </c>
      <c r="AK46" s="30" t="n">
        <f aca="false">IF(X46&gt;0,IF(AJ46&gt;=0,AJ46-X46,0),0)</f>
        <v>0</v>
      </c>
      <c r="AM46" s="17"/>
      <c r="AN46" s="26"/>
      <c r="AO46" s="26"/>
      <c r="AQ46" s="27" t="n">
        <f aca="false">Z46</f>
        <v>0</v>
      </c>
      <c r="AR46" s="17" t="n">
        <f aca="false">AA46</f>
        <v>0</v>
      </c>
      <c r="AS46" s="26"/>
      <c r="AT46" s="31" t="str">
        <f aca="false">IF(AU46&gt;0,"anular",IF(AU46&lt;0,"reforçar","nenhuma"))</f>
        <v>nenhuma</v>
      </c>
      <c r="AU46" s="26"/>
    </row>
    <row r="47" customFormat="false" ht="15" hidden="false" customHeight="false" outlineLevel="0" collapsed="false">
      <c r="A47" s="15" t="n">
        <v>43</v>
      </c>
      <c r="B47" s="27"/>
      <c r="C47" s="17"/>
      <c r="D47" s="17"/>
      <c r="E47" s="17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R47" s="21" t="n">
        <f aca="false">IF(SUM(F47:P47)&gt;0,ROUND(AVERAGE(F47:P47),4),0)</f>
        <v>0</v>
      </c>
      <c r="T47" s="22" t="n">
        <v>0</v>
      </c>
      <c r="U47" s="39"/>
      <c r="V47" s="41"/>
      <c r="W47" s="39"/>
      <c r="X47" s="26" t="n">
        <f aca="false">IF(T47&gt;0,T47,R47)*V47</f>
        <v>0</v>
      </c>
      <c r="Z47" s="27"/>
      <c r="AA47" s="17"/>
      <c r="AB47" s="26" t="n">
        <f aca="false">IF(Z47="",0,IF(AA47="",SUMIF($B$5:$B$220,"="&amp;Z47,$X$5:$X$220),SUMIFS($X$5:$X$220, $B$5:$B$220, "="&amp;Z47, $C$5:$C$220,"="&amp;AA47)))</f>
        <v>0</v>
      </c>
      <c r="AD47" s="29"/>
      <c r="AF47" s="17"/>
      <c r="AG47" s="26" t="n">
        <f aca="false">IF(AF47="",0,SUMIF($AD$5:$AD$220,"="&amp;AF47,$X$5:$X$220))</f>
        <v>0</v>
      </c>
      <c r="AI47" s="20"/>
      <c r="AJ47" s="26" t="n">
        <f aca="false">AI47*V47</f>
        <v>0</v>
      </c>
      <c r="AK47" s="30" t="n">
        <f aca="false">IF(X47&gt;0,IF(AJ47&gt;=0,AJ47-X47,0),0)</f>
        <v>0</v>
      </c>
      <c r="AM47" s="17" t="n">
        <f aca="false">AF47</f>
        <v>0</v>
      </c>
      <c r="AN47" s="26" t="n">
        <f aca="false">IF(AM47="","",SUMIF($AD$5:$AD$220,"="&amp;AM47,$AJ$5:$AJ$220))</f>
        <v>0</v>
      </c>
      <c r="AO47" s="26" t="n">
        <f aca="false">IF(AG47&gt;=0,IF(AN47&gt;=0,AG47-AN47,0),0)</f>
        <v>0</v>
      </c>
      <c r="AQ47" s="27" t="n">
        <f aca="false">Z47</f>
        <v>0</v>
      </c>
      <c r="AR47" s="17" t="n">
        <f aca="false">AA47</f>
        <v>0</v>
      </c>
      <c r="AS47" s="26" t="str">
        <f aca="false">IF(AQ47="","",IF(AR47="",SUMIF($B$5:$B$220,"="&amp;AQ47,$AJ$5:$AJ$220),SUMIFS($AJ$5:$AJ$220, $B$5:$B$220, "="&amp;AQ47, $C$5:$C$220,"="&amp;AR47)))</f>
        <v/>
      </c>
      <c r="AT47" s="31" t="str">
        <f aca="false">IF(AU47&gt;0,"anular",IF(AU47&lt;0,"reforçar","nenhuma"))</f>
        <v>nenhuma</v>
      </c>
      <c r="AU47" s="26" t="n">
        <f aca="false">IF(AB47&gt;0,IF(AS47&gt;=0,AB47-AS47,0),0)</f>
        <v>0</v>
      </c>
    </row>
    <row r="48" customFormat="false" ht="15" hidden="false" customHeight="false" outlineLevel="0" collapsed="false">
      <c r="A48" s="15" t="n">
        <v>44</v>
      </c>
      <c r="B48" s="27"/>
      <c r="C48" s="17"/>
      <c r="D48" s="17"/>
      <c r="E48" s="17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R48" s="21" t="n">
        <f aca="false">IF(SUM(F48:P48)&gt;0,ROUND(AVERAGE(F48:P48),4),0)</f>
        <v>0</v>
      </c>
      <c r="T48" s="22" t="n">
        <v>0</v>
      </c>
      <c r="U48" s="39"/>
      <c r="V48" s="41"/>
      <c r="W48" s="39"/>
      <c r="X48" s="26" t="n">
        <f aca="false">IF(T48&gt;0,T48,R48)*V48</f>
        <v>0</v>
      </c>
      <c r="Z48" s="27"/>
      <c r="AA48" s="17"/>
      <c r="AB48" s="26" t="n">
        <f aca="false">IF(Z48="",0,IF(AA48="",SUMIF($B$5:$B$220,"="&amp;Z48,$X$5:$X$220),SUMIFS($X$5:$X$220, $B$5:$B$220, "="&amp;Z48, $C$5:$C$220,"="&amp;AA48)))</f>
        <v>0</v>
      </c>
      <c r="AD48" s="29"/>
      <c r="AF48" s="17"/>
      <c r="AG48" s="26" t="n">
        <f aca="false">IF(AF48="",0,SUMIF($AD$5:$AD$220,"="&amp;AF48,$X$5:$X$220))</f>
        <v>0</v>
      </c>
      <c r="AI48" s="20"/>
      <c r="AJ48" s="26" t="n">
        <f aca="false">AI48*V48</f>
        <v>0</v>
      </c>
      <c r="AK48" s="30" t="n">
        <f aca="false">IF(X48&gt;0,IF(AJ48&gt;=0,AJ48-X48,0),0)</f>
        <v>0</v>
      </c>
      <c r="AM48" s="17"/>
      <c r="AN48" s="26"/>
      <c r="AO48" s="26"/>
      <c r="AQ48" s="27" t="n">
        <f aca="false">Z48</f>
        <v>0</v>
      </c>
      <c r="AR48" s="17" t="n">
        <f aca="false">AA48</f>
        <v>0</v>
      </c>
      <c r="AS48" s="26"/>
      <c r="AT48" s="31" t="str">
        <f aca="false">IF(AU48&gt;0,"anular",IF(AU48&lt;0,"reforçar","nenhuma"))</f>
        <v>nenhuma</v>
      </c>
      <c r="AU48" s="26"/>
    </row>
    <row r="49" customFormat="false" ht="15" hidden="false" customHeight="false" outlineLevel="0" collapsed="false">
      <c r="A49" s="15" t="n">
        <v>45</v>
      </c>
      <c r="B49" s="27"/>
      <c r="C49" s="17"/>
      <c r="D49" s="17"/>
      <c r="E49" s="17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R49" s="21" t="n">
        <f aca="false">IF(SUM(F49:P49)&gt;0,ROUND(AVERAGE(F49:P49),4),0)</f>
        <v>0</v>
      </c>
      <c r="T49" s="22" t="n">
        <v>0</v>
      </c>
      <c r="U49" s="39"/>
      <c r="V49" s="41"/>
      <c r="W49" s="39"/>
      <c r="X49" s="26" t="n">
        <f aca="false">IF(T49&gt;0,T49,R49)*V49</f>
        <v>0</v>
      </c>
      <c r="Z49" s="27"/>
      <c r="AA49" s="17"/>
      <c r="AB49" s="26" t="n">
        <f aca="false">IF(Z49="",0,IF(AA49="",SUMIF($B$5:$B$220,"="&amp;Z49,$X$5:$X$220),SUMIFS($X$5:$X$220, $B$5:$B$220, "="&amp;Z49, $C$5:$C$220,"="&amp;AA49)))</f>
        <v>0</v>
      </c>
      <c r="AD49" s="29"/>
      <c r="AF49" s="17"/>
      <c r="AG49" s="26" t="n">
        <f aca="false">IF(AF49="",0,SUMIF($AD$5:$AD$220,"="&amp;AF49,$X$5:$X$220))</f>
        <v>0</v>
      </c>
      <c r="AI49" s="20"/>
      <c r="AJ49" s="26" t="n">
        <f aca="false">AI49*V49</f>
        <v>0</v>
      </c>
      <c r="AK49" s="30" t="n">
        <f aca="false">IF(X49&gt;0,IF(AJ49&gt;=0,AJ49-X49,0),0)</f>
        <v>0</v>
      </c>
      <c r="AM49" s="17"/>
      <c r="AN49" s="26"/>
      <c r="AO49" s="26"/>
      <c r="AQ49" s="27" t="n">
        <f aca="false">Z49</f>
        <v>0</v>
      </c>
      <c r="AR49" s="17" t="n">
        <f aca="false">AA49</f>
        <v>0</v>
      </c>
      <c r="AS49" s="26"/>
      <c r="AT49" s="31" t="str">
        <f aca="false">IF(AU49&gt;0,"anular",IF(AU49&lt;0,"reforçar","nenhuma"))</f>
        <v>nenhuma</v>
      </c>
      <c r="AU49" s="26"/>
    </row>
    <row r="50" customFormat="false" ht="15" hidden="false" customHeight="false" outlineLevel="0" collapsed="false">
      <c r="A50" s="15" t="n">
        <v>46</v>
      </c>
      <c r="B50" s="27"/>
      <c r="C50" s="17"/>
      <c r="D50" s="17"/>
      <c r="E50" s="17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R50" s="21" t="n">
        <f aca="false">IF(SUM(F50:P50)&gt;0,ROUND(AVERAGE(F50:P50),4),0)</f>
        <v>0</v>
      </c>
      <c r="T50" s="22" t="n">
        <v>0</v>
      </c>
      <c r="U50" s="39"/>
      <c r="V50" s="41"/>
      <c r="W50" s="39"/>
      <c r="X50" s="26" t="n">
        <f aca="false">IF(T50&gt;0,T50,R50)*V50</f>
        <v>0</v>
      </c>
      <c r="Z50" s="27"/>
      <c r="AA50" s="17"/>
      <c r="AB50" s="26" t="n">
        <f aca="false">IF(Z50="",0,IF(AA50="",SUMIF($B$5:$B$220,"="&amp;Z50,$X$5:$X$220),SUMIFS($X$5:$X$220, $B$5:$B$220, "="&amp;Z50, $C$5:$C$220,"="&amp;AA50)))</f>
        <v>0</v>
      </c>
      <c r="AD50" s="29"/>
      <c r="AF50" s="17"/>
      <c r="AG50" s="26" t="n">
        <f aca="false">IF(AF50="",0,SUMIF($AD$5:$AD$220,"="&amp;AF50,$X$5:$X$220))</f>
        <v>0</v>
      </c>
      <c r="AI50" s="20"/>
      <c r="AJ50" s="26" t="n">
        <f aca="false">AI50*V50</f>
        <v>0</v>
      </c>
      <c r="AK50" s="30" t="n">
        <f aca="false">IF(X50&gt;0,IF(AJ50&gt;=0,AJ50-X50,0),0)</f>
        <v>0</v>
      </c>
      <c r="AM50" s="17"/>
      <c r="AN50" s="26"/>
      <c r="AO50" s="26"/>
      <c r="AQ50" s="27" t="n">
        <f aca="false">Z50</f>
        <v>0</v>
      </c>
      <c r="AR50" s="17" t="n">
        <f aca="false">AA50</f>
        <v>0</v>
      </c>
      <c r="AS50" s="26"/>
      <c r="AT50" s="31" t="str">
        <f aca="false">IF(AU50&gt;0,"anular",IF(AU50&lt;0,"reforçar","nenhuma"))</f>
        <v>nenhuma</v>
      </c>
      <c r="AU50" s="26"/>
    </row>
    <row r="51" customFormat="false" ht="15" hidden="false" customHeight="false" outlineLevel="0" collapsed="false">
      <c r="A51" s="15" t="n">
        <v>47</v>
      </c>
      <c r="B51" s="27"/>
      <c r="C51" s="17"/>
      <c r="D51" s="17"/>
      <c r="E51" s="17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R51" s="21" t="n">
        <f aca="false">IF(SUM(F51:P51)&gt;0,ROUND(AVERAGE(F51:P51),4),0)</f>
        <v>0</v>
      </c>
      <c r="T51" s="22" t="n">
        <v>0</v>
      </c>
      <c r="U51" s="39"/>
      <c r="V51" s="41"/>
      <c r="W51" s="39"/>
      <c r="X51" s="26" t="n">
        <f aca="false">IF(T51&gt;0,T51,R51)*V51</f>
        <v>0</v>
      </c>
      <c r="Z51" s="27"/>
      <c r="AA51" s="17"/>
      <c r="AB51" s="26" t="n">
        <f aca="false">IF(Z51="",0,IF(AA51="",SUMIF($B$5:$B$220,"="&amp;Z51,$X$5:$X$220),SUMIFS($X$5:$X$220, $B$5:$B$220, "="&amp;Z51, $C$5:$C$220,"="&amp;AA51)))</f>
        <v>0</v>
      </c>
      <c r="AD51" s="29"/>
      <c r="AF51" s="17"/>
      <c r="AG51" s="26" t="n">
        <f aca="false">IF(AF51="",0,SUMIF($AD$5:$AD$220,"="&amp;AF51,$X$5:$X$220))</f>
        <v>0</v>
      </c>
      <c r="AI51" s="20"/>
      <c r="AJ51" s="26" t="n">
        <f aca="false">AI51*V51</f>
        <v>0</v>
      </c>
      <c r="AK51" s="30" t="n">
        <f aca="false">IF(X51&gt;0,IF(AJ51&gt;=0,AJ51-X51,0),0)</f>
        <v>0</v>
      </c>
      <c r="AM51" s="17" t="n">
        <f aca="false">AF51</f>
        <v>0</v>
      </c>
      <c r="AN51" s="26" t="n">
        <f aca="false">IF(AM51="","",SUMIF($AD$5:$AD$220,"="&amp;AM51,$AJ$5:$AJ$220))</f>
        <v>0</v>
      </c>
      <c r="AO51" s="26" t="n">
        <f aca="false">IF(AG51&gt;=0,IF(AN51&gt;=0,AG51-AN51,0),0)</f>
        <v>0</v>
      </c>
      <c r="AQ51" s="27" t="n">
        <f aca="false">Z51</f>
        <v>0</v>
      </c>
      <c r="AR51" s="17" t="n">
        <f aca="false">AA51</f>
        <v>0</v>
      </c>
      <c r="AS51" s="26" t="str">
        <f aca="false">IF(AQ51="","",IF(AR51="",SUMIF($B$5:$B$220,"="&amp;AQ51,$AJ$5:$AJ$220),SUMIFS($AJ$5:$AJ$220, $B$5:$B$220, "="&amp;AQ51, $C$5:$C$220,"="&amp;AR51)))</f>
        <v/>
      </c>
      <c r="AT51" s="31" t="str">
        <f aca="false">IF(AU51&gt;0,"anular",IF(AU51&lt;0,"reforçar","nenhuma"))</f>
        <v>nenhuma</v>
      </c>
      <c r="AU51" s="26" t="n">
        <f aca="false">IF(AB51&gt;0,IF(AS51&gt;=0,AB51-AS51,0),0)</f>
        <v>0</v>
      </c>
    </row>
    <row r="52" customFormat="false" ht="15" hidden="false" customHeight="false" outlineLevel="0" collapsed="false">
      <c r="A52" s="15" t="n">
        <v>48</v>
      </c>
      <c r="B52" s="27"/>
      <c r="C52" s="17"/>
      <c r="D52" s="17"/>
      <c r="E52" s="17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R52" s="21" t="n">
        <f aca="false">IF(SUM(F52:P52)&gt;0,ROUND(AVERAGE(F52:P52),4),0)</f>
        <v>0</v>
      </c>
      <c r="T52" s="22" t="n">
        <v>0</v>
      </c>
      <c r="U52" s="39"/>
      <c r="V52" s="41"/>
      <c r="W52" s="39"/>
      <c r="X52" s="26" t="n">
        <f aca="false">IF(T52&gt;0,T52,R52)*V52</f>
        <v>0</v>
      </c>
      <c r="Z52" s="27"/>
      <c r="AA52" s="17"/>
      <c r="AB52" s="26" t="n">
        <f aca="false">IF(Z52="",0,IF(AA52="",SUMIF($B$5:$B$220,"="&amp;Z52,$X$5:$X$220),SUMIFS($X$5:$X$220, $B$5:$B$220, "="&amp;Z52, $C$5:$C$220,"="&amp;AA52)))</f>
        <v>0</v>
      </c>
      <c r="AD52" s="29"/>
      <c r="AF52" s="17"/>
      <c r="AG52" s="26" t="n">
        <f aca="false">IF(AF52="",0,SUMIF($AD$5:$AD$220,"="&amp;AF52,$X$5:$X$220))</f>
        <v>0</v>
      </c>
      <c r="AI52" s="20"/>
      <c r="AJ52" s="26" t="n">
        <f aca="false">AI52*V52</f>
        <v>0</v>
      </c>
      <c r="AK52" s="30" t="n">
        <f aca="false">IF(X52&gt;0,IF(AJ52&gt;=0,AJ52-X52,0),0)</f>
        <v>0</v>
      </c>
      <c r="AM52" s="17" t="n">
        <f aca="false">AF52</f>
        <v>0</v>
      </c>
      <c r="AN52" s="26" t="n">
        <f aca="false">IF(AM52="","",SUMIF($AD$5:$AD$220,"="&amp;AM52,$AJ$5:$AJ$220))</f>
        <v>0</v>
      </c>
      <c r="AO52" s="26" t="n">
        <f aca="false">IF(AG52&gt;=0,IF(AN52&gt;=0,AG52-AN52,0),0)</f>
        <v>0</v>
      </c>
      <c r="AQ52" s="27" t="n">
        <f aca="false">Z52</f>
        <v>0</v>
      </c>
      <c r="AR52" s="17" t="n">
        <f aca="false">AA52</f>
        <v>0</v>
      </c>
      <c r="AS52" s="26" t="str">
        <f aca="false">IF(AQ52="","",IF(AR52="",SUMIF($B$5:$B$220,"="&amp;AQ52,$AJ$5:$AJ$220),SUMIFS($AJ$5:$AJ$220, $B$5:$B$220, "="&amp;AQ52, $C$5:$C$220,"="&amp;AR52)))</f>
        <v/>
      </c>
      <c r="AT52" s="31" t="str">
        <f aca="false">IF(AU52&gt;0,"anular",IF(AU52&lt;0,"reforçar","nenhuma"))</f>
        <v>nenhuma</v>
      </c>
      <c r="AU52" s="26" t="n">
        <f aca="false">IF(AB52&gt;0,IF(AS52&gt;=0,AB52-AS52,0),0)</f>
        <v>0</v>
      </c>
    </row>
    <row r="53" customFormat="false" ht="15" hidden="false" customHeight="false" outlineLevel="0" collapsed="false">
      <c r="A53" s="15" t="n">
        <v>49</v>
      </c>
      <c r="B53" s="27"/>
      <c r="C53" s="17"/>
      <c r="D53" s="17"/>
      <c r="E53" s="17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R53" s="21" t="n">
        <f aca="false">IF(SUM(F53:P53)&gt;0,ROUND(AVERAGE(F53:P53),4),0)</f>
        <v>0</v>
      </c>
      <c r="T53" s="22" t="n">
        <v>0</v>
      </c>
      <c r="U53" s="39"/>
      <c r="V53" s="41"/>
      <c r="W53" s="39"/>
      <c r="X53" s="26" t="n">
        <f aca="false">IF(T53&gt;0,T53,R53)*V53</f>
        <v>0</v>
      </c>
      <c r="Z53" s="27"/>
      <c r="AA53" s="17"/>
      <c r="AB53" s="26" t="n">
        <f aca="false">IF(Z53="",0,IF(AA53="",SUMIF($B$5:$B$220,"="&amp;Z53,$X$5:$X$220),SUMIFS($X$5:$X$220, $B$5:$B$220, "="&amp;Z53, $C$5:$C$220,"="&amp;AA53)))</f>
        <v>0</v>
      </c>
      <c r="AD53" s="29"/>
      <c r="AF53" s="17"/>
      <c r="AG53" s="26" t="n">
        <f aca="false">IF(AF53="",0,SUMIF($AD$5:$AD$220,"="&amp;AF53,$X$5:$X$220))</f>
        <v>0</v>
      </c>
      <c r="AI53" s="20"/>
      <c r="AJ53" s="26" t="n">
        <f aca="false">AI53*V53</f>
        <v>0</v>
      </c>
      <c r="AK53" s="30" t="n">
        <f aca="false">IF(X53&gt;0,IF(AJ53&gt;=0,AJ53-X53,0),0)</f>
        <v>0</v>
      </c>
      <c r="AM53" s="17"/>
      <c r="AN53" s="26"/>
      <c r="AO53" s="26"/>
      <c r="AQ53" s="27" t="n">
        <f aca="false">Z53</f>
        <v>0</v>
      </c>
      <c r="AR53" s="17" t="n">
        <f aca="false">AA53</f>
        <v>0</v>
      </c>
      <c r="AS53" s="26"/>
      <c r="AT53" s="31" t="str">
        <f aca="false">IF(AU53&gt;0,"anular",IF(AU53&lt;0,"reforçar","nenhuma"))</f>
        <v>nenhuma</v>
      </c>
      <c r="AU53" s="26"/>
    </row>
    <row r="54" customFormat="false" ht="15" hidden="false" customHeight="false" outlineLevel="0" collapsed="false">
      <c r="A54" s="15" t="n">
        <v>50</v>
      </c>
      <c r="B54" s="27"/>
      <c r="C54" s="17"/>
      <c r="D54" s="17"/>
      <c r="E54" s="17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R54" s="21" t="n">
        <f aca="false">IF(SUM(F54:P54)&gt;0,ROUND(AVERAGE(F54:P54),4),0)</f>
        <v>0</v>
      </c>
      <c r="T54" s="22" t="n">
        <v>0</v>
      </c>
      <c r="U54" s="39"/>
      <c r="V54" s="41"/>
      <c r="W54" s="39"/>
      <c r="X54" s="26" t="n">
        <f aca="false">IF(T54&gt;0,T54,R54)*V54</f>
        <v>0</v>
      </c>
      <c r="Z54" s="27"/>
      <c r="AA54" s="17"/>
      <c r="AB54" s="26" t="n">
        <f aca="false">IF(Z54="",0,IF(AA54="",SUMIF($B$5:$B$220,"="&amp;Z54,$X$5:$X$220),SUMIFS($X$5:$X$220, $B$5:$B$220, "="&amp;Z54, $C$5:$C$220,"="&amp;AA54)))</f>
        <v>0</v>
      </c>
      <c r="AD54" s="29"/>
      <c r="AF54" s="17"/>
      <c r="AG54" s="26" t="n">
        <f aca="false">IF(AF54="",0,SUMIF($AD$5:$AD$220,"="&amp;AF54,$X$5:$X$220))</f>
        <v>0</v>
      </c>
      <c r="AI54" s="20"/>
      <c r="AJ54" s="26" t="n">
        <f aca="false">AI54*V54</f>
        <v>0</v>
      </c>
      <c r="AK54" s="30" t="n">
        <f aca="false">IF(X54&gt;0,IF(AJ54&gt;=0,AJ54-X54,0),0)</f>
        <v>0</v>
      </c>
      <c r="AM54" s="17" t="n">
        <f aca="false">AF54</f>
        <v>0</v>
      </c>
      <c r="AN54" s="26" t="n">
        <f aca="false">IF(AM54="","",SUMIF($AD$5:$AD$220,"="&amp;AM54,$AJ$5:$AJ$220))</f>
        <v>0</v>
      </c>
      <c r="AO54" s="26" t="n">
        <f aca="false">IF(AG54&gt;=0,IF(AN54&gt;=0,AG54-AN54,0),0)</f>
        <v>0</v>
      </c>
      <c r="AQ54" s="27" t="n">
        <f aca="false">Z54</f>
        <v>0</v>
      </c>
      <c r="AR54" s="17" t="n">
        <f aca="false">AA54</f>
        <v>0</v>
      </c>
      <c r="AS54" s="26" t="str">
        <f aca="false">IF(AQ54="","",IF(AR54="",SUMIF($B$5:$B$220,"="&amp;AQ54,$AJ$5:$AJ$220),SUMIFS($AJ$5:$AJ$220, $B$5:$B$220, "="&amp;AQ54, $C$5:$C$220,"="&amp;AR54)))</f>
        <v/>
      </c>
      <c r="AT54" s="31" t="str">
        <f aca="false">IF(AU54&gt;0,"anular",IF(AU54&lt;0,"reforçar","nenhuma"))</f>
        <v>nenhuma</v>
      </c>
      <c r="AU54" s="26" t="n">
        <f aca="false">IF(AB54&gt;0,IF(AS54&gt;=0,AB54-AS54,0),0)</f>
        <v>0</v>
      </c>
    </row>
    <row r="55" customFormat="false" ht="15" hidden="false" customHeight="false" outlineLevel="0" collapsed="false">
      <c r="A55" s="15" t="n">
        <v>51</v>
      </c>
      <c r="B55" s="27"/>
      <c r="C55" s="17"/>
      <c r="D55" s="17"/>
      <c r="E55" s="17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R55" s="21" t="n">
        <f aca="false">IF(SUM(F55:P55)&gt;0,ROUND(AVERAGE(F55:P55),4),0)</f>
        <v>0</v>
      </c>
      <c r="T55" s="22" t="n">
        <v>0</v>
      </c>
      <c r="U55" s="39"/>
      <c r="V55" s="41"/>
      <c r="W55" s="39"/>
      <c r="X55" s="26" t="n">
        <f aca="false">IF(T55&gt;0,T55,R55)*V55</f>
        <v>0</v>
      </c>
      <c r="Z55" s="27"/>
      <c r="AA55" s="17"/>
      <c r="AB55" s="26" t="n">
        <f aca="false">IF(Z55="",0,IF(AA55="",SUMIF($B$5:$B$220,"="&amp;Z55,$X$5:$X$220),SUMIFS($X$5:$X$220, $B$5:$B$220, "="&amp;Z55, $C$5:$C$220,"="&amp;AA55)))</f>
        <v>0</v>
      </c>
      <c r="AD55" s="29"/>
      <c r="AF55" s="17"/>
      <c r="AG55" s="26" t="n">
        <f aca="false">IF(AF55="",0,SUMIF($AD$5:$AD$220,"="&amp;AF55,$X$5:$X$220))</f>
        <v>0</v>
      </c>
      <c r="AI55" s="20"/>
      <c r="AJ55" s="26" t="n">
        <f aca="false">AI55*V55</f>
        <v>0</v>
      </c>
      <c r="AK55" s="30" t="n">
        <f aca="false">IF(X55&gt;0,IF(AJ55&gt;=0,AJ55-X55,0),0)</f>
        <v>0</v>
      </c>
      <c r="AM55" s="17" t="n">
        <f aca="false">AF55</f>
        <v>0</v>
      </c>
      <c r="AN55" s="26" t="n">
        <f aca="false">IF(AM55="","",SUMIF($AD$5:$AD$220,"="&amp;AM55,$AJ$5:$AJ$220))</f>
        <v>0</v>
      </c>
      <c r="AO55" s="26" t="n">
        <f aca="false">IF(AG55&gt;=0,IF(AN55&gt;=0,AG55-AN55,0),0)</f>
        <v>0</v>
      </c>
      <c r="AQ55" s="27" t="n">
        <f aca="false">Z55</f>
        <v>0</v>
      </c>
      <c r="AR55" s="17" t="n">
        <f aca="false">AA55</f>
        <v>0</v>
      </c>
      <c r="AS55" s="26" t="str">
        <f aca="false">IF(AQ55="","",IF(AR55="",SUMIF($B$5:$B$220,"="&amp;AQ55,$AJ$5:$AJ$220),SUMIFS($AJ$5:$AJ$220, $B$5:$B$220, "="&amp;AQ55, $C$5:$C$220,"="&amp;AR55)))</f>
        <v/>
      </c>
      <c r="AT55" s="31" t="str">
        <f aca="false">IF(AU55&gt;0,"anular",IF(AU55&lt;0,"reforçar","nenhuma"))</f>
        <v>nenhuma</v>
      </c>
      <c r="AU55" s="26" t="n">
        <f aca="false">IF(AB55&gt;0,IF(AS55&gt;=0,AB55-AS55,0),0)</f>
        <v>0</v>
      </c>
    </row>
    <row r="56" customFormat="false" ht="15" hidden="false" customHeight="false" outlineLevel="0" collapsed="false">
      <c r="A56" s="15" t="n">
        <v>52</v>
      </c>
      <c r="B56" s="27"/>
      <c r="C56" s="17"/>
      <c r="D56" s="17"/>
      <c r="E56" s="17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R56" s="21" t="n">
        <f aca="false">IF(SUM(F56:P56)&gt;0,ROUND(AVERAGE(F56:P56),4),0)</f>
        <v>0</v>
      </c>
      <c r="T56" s="22" t="n">
        <v>0</v>
      </c>
      <c r="U56" s="39"/>
      <c r="V56" s="41"/>
      <c r="W56" s="39"/>
      <c r="X56" s="26" t="n">
        <f aca="false">IF(T56&gt;0,T56,R56)*V56</f>
        <v>0</v>
      </c>
      <c r="Z56" s="27"/>
      <c r="AA56" s="17"/>
      <c r="AB56" s="26" t="n">
        <f aca="false">IF(Z56="",0,IF(AA56="",SUMIF($B$5:$B$220,"="&amp;Z56,$X$5:$X$220),SUMIFS($X$5:$X$220, $B$5:$B$220, "="&amp;Z56, $C$5:$C$220,"="&amp;AA56)))</f>
        <v>0</v>
      </c>
      <c r="AD56" s="29"/>
      <c r="AF56" s="17"/>
      <c r="AG56" s="26" t="n">
        <f aca="false">IF(AF56="",0,SUMIF($AD$5:$AD$220,"="&amp;AF56,$X$5:$X$220))</f>
        <v>0</v>
      </c>
      <c r="AI56" s="20"/>
      <c r="AJ56" s="26" t="n">
        <f aca="false">AI56*V56</f>
        <v>0</v>
      </c>
      <c r="AK56" s="30" t="n">
        <f aca="false">IF(X56&gt;0,IF(AJ56&gt;=0,AJ56-X56,0),0)</f>
        <v>0</v>
      </c>
      <c r="AM56" s="17" t="n">
        <f aca="false">AF56</f>
        <v>0</v>
      </c>
      <c r="AN56" s="26" t="n">
        <f aca="false">IF(AM56="","",SUMIF($AD$5:$AD$220,"="&amp;AM56,$AJ$5:$AJ$220))</f>
        <v>0</v>
      </c>
      <c r="AO56" s="26" t="n">
        <f aca="false">IF(AG56&gt;=0,IF(AN56&gt;=0,AG56-AN56,0),0)</f>
        <v>0</v>
      </c>
      <c r="AQ56" s="27" t="n">
        <f aca="false">Z56</f>
        <v>0</v>
      </c>
      <c r="AR56" s="17" t="n">
        <f aca="false">AA56</f>
        <v>0</v>
      </c>
      <c r="AS56" s="26" t="str">
        <f aca="false">IF(AQ56="","",IF(AR56="",SUMIF($B$5:$B$220,"="&amp;AQ56,$AJ$5:$AJ$220),SUMIFS($AJ$5:$AJ$220, $B$5:$B$220, "="&amp;AQ56, $C$5:$C$220,"="&amp;AR56)))</f>
        <v/>
      </c>
      <c r="AT56" s="31" t="str">
        <f aca="false">IF(AU56&gt;0,"anular",IF(AU56&lt;0,"reforçar","nenhuma"))</f>
        <v>nenhuma</v>
      </c>
      <c r="AU56" s="26" t="n">
        <f aca="false">IF(AB56&gt;0,IF(AS56&gt;=0,AB56-AS56,0),0)</f>
        <v>0</v>
      </c>
    </row>
    <row r="57" customFormat="false" ht="15" hidden="false" customHeight="false" outlineLevel="0" collapsed="false">
      <c r="A57" s="15" t="n">
        <v>53</v>
      </c>
      <c r="B57" s="27"/>
      <c r="C57" s="17"/>
      <c r="D57" s="17"/>
      <c r="E57" s="17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R57" s="21" t="n">
        <f aca="false">IF(SUM(F57:P57)&gt;0,ROUND(AVERAGE(F57:P57),4),0)</f>
        <v>0</v>
      </c>
      <c r="T57" s="22" t="n">
        <v>0</v>
      </c>
      <c r="U57" s="39"/>
      <c r="V57" s="41"/>
      <c r="W57" s="39"/>
      <c r="X57" s="26" t="n">
        <f aca="false">IF(T57&gt;0,T57,R57)*V57</f>
        <v>0</v>
      </c>
      <c r="Z57" s="27"/>
      <c r="AA57" s="17"/>
      <c r="AB57" s="26" t="n">
        <f aca="false">IF(Z57="",0,IF(AA57="",SUMIF($B$5:$B$220,"="&amp;Z57,$X$5:$X$220),SUMIFS($X$5:$X$220, $B$5:$B$220, "="&amp;Z57, $C$5:$C$220,"="&amp;AA57)))</f>
        <v>0</v>
      </c>
      <c r="AD57" s="29"/>
      <c r="AF57" s="17"/>
      <c r="AG57" s="26" t="n">
        <f aca="false">IF(AF57="",0,SUMIF($AD$5:$AD$220,"="&amp;AF57,$X$5:$X$220))</f>
        <v>0</v>
      </c>
      <c r="AI57" s="20"/>
      <c r="AJ57" s="26" t="n">
        <f aca="false">AI57*V57</f>
        <v>0</v>
      </c>
      <c r="AK57" s="30" t="n">
        <f aca="false">IF(X57&gt;0,IF(AJ57&gt;=0,AJ57-X57,0),0)</f>
        <v>0</v>
      </c>
      <c r="AM57" s="17"/>
      <c r="AN57" s="26"/>
      <c r="AO57" s="26"/>
      <c r="AQ57" s="27" t="n">
        <f aca="false">Z57</f>
        <v>0</v>
      </c>
      <c r="AR57" s="17" t="n">
        <f aca="false">AA57</f>
        <v>0</v>
      </c>
      <c r="AS57" s="26"/>
      <c r="AT57" s="31" t="str">
        <f aca="false">IF(AU57&gt;0,"anular",IF(AU57&lt;0,"reforçar","nenhuma"))</f>
        <v>nenhuma</v>
      </c>
      <c r="AU57" s="26"/>
    </row>
    <row r="58" customFormat="false" ht="15" hidden="false" customHeight="false" outlineLevel="0" collapsed="false">
      <c r="A58" s="15" t="n">
        <v>54</v>
      </c>
      <c r="B58" s="27"/>
      <c r="C58" s="17"/>
      <c r="D58" s="17"/>
      <c r="E58" s="17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R58" s="21" t="n">
        <f aca="false">IF(SUM(F58:P58)&gt;0,ROUND(AVERAGE(F58:P58),4),0)</f>
        <v>0</v>
      </c>
      <c r="T58" s="22" t="n">
        <v>0</v>
      </c>
      <c r="U58" s="39"/>
      <c r="V58" s="41"/>
      <c r="W58" s="39"/>
      <c r="X58" s="26" t="n">
        <f aca="false">IF(T58&gt;0,T58,R58)*V58</f>
        <v>0</v>
      </c>
      <c r="Z58" s="27"/>
      <c r="AA58" s="17"/>
      <c r="AB58" s="26" t="n">
        <f aca="false">IF(Z58="",0,IF(AA58="",SUMIF($B$5:$B$220,"="&amp;Z58,$X$5:$X$220),SUMIFS($X$5:$X$220, $B$5:$B$220, "="&amp;Z58, $C$5:$C$220,"="&amp;AA58)))</f>
        <v>0</v>
      </c>
      <c r="AD58" s="29"/>
      <c r="AF58" s="17"/>
      <c r="AG58" s="26" t="n">
        <f aca="false">IF(AF58="",0,SUMIF($AD$5:$AD$220,"="&amp;AF58,$X$5:$X$220))</f>
        <v>0</v>
      </c>
      <c r="AI58" s="20"/>
      <c r="AJ58" s="26" t="n">
        <f aca="false">AI58*V58</f>
        <v>0</v>
      </c>
      <c r="AK58" s="30" t="n">
        <f aca="false">IF(X58&gt;0,IF(AJ58&gt;=0,AJ58-X58,0),0)</f>
        <v>0</v>
      </c>
      <c r="AM58" s="17"/>
      <c r="AN58" s="26"/>
      <c r="AO58" s="26"/>
      <c r="AQ58" s="27" t="n">
        <f aca="false">Z58</f>
        <v>0</v>
      </c>
      <c r="AR58" s="17" t="n">
        <f aca="false">AA58</f>
        <v>0</v>
      </c>
      <c r="AS58" s="26"/>
      <c r="AT58" s="31" t="str">
        <f aca="false">IF(AU58&gt;0,"anular",IF(AU58&lt;0,"reforçar","nenhuma"))</f>
        <v>nenhuma</v>
      </c>
      <c r="AU58" s="26"/>
    </row>
    <row r="59" customFormat="false" ht="15" hidden="false" customHeight="false" outlineLevel="0" collapsed="false">
      <c r="A59" s="15" t="n">
        <v>55</v>
      </c>
      <c r="B59" s="27"/>
      <c r="C59" s="17"/>
      <c r="D59" s="17"/>
      <c r="E59" s="17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R59" s="21" t="n">
        <f aca="false">IF(SUM(F59:P59)&gt;0,ROUND(AVERAGE(F59:P59),4),0)</f>
        <v>0</v>
      </c>
      <c r="T59" s="22" t="n">
        <v>0</v>
      </c>
      <c r="U59" s="39"/>
      <c r="V59" s="41"/>
      <c r="W59" s="39"/>
      <c r="X59" s="26" t="n">
        <f aca="false">IF(T59&gt;0,T59,R59)*V59</f>
        <v>0</v>
      </c>
      <c r="Z59" s="27"/>
      <c r="AA59" s="17"/>
      <c r="AB59" s="26" t="n">
        <f aca="false">IF(Z59="",0,IF(AA59="",SUMIF($B$5:$B$220,"="&amp;Z59,$X$5:$X$220),SUMIFS($X$5:$X$220, $B$5:$B$220, "="&amp;Z59, $C$5:$C$220,"="&amp;AA59)))</f>
        <v>0</v>
      </c>
      <c r="AD59" s="29"/>
      <c r="AF59" s="17"/>
      <c r="AG59" s="26" t="n">
        <f aca="false">IF(AF59="",0,SUMIF($AD$5:$AD$220,"="&amp;AF59,$X$5:$X$220))</f>
        <v>0</v>
      </c>
      <c r="AI59" s="20"/>
      <c r="AJ59" s="26" t="n">
        <f aca="false">AI59*V59</f>
        <v>0</v>
      </c>
      <c r="AK59" s="30" t="n">
        <f aca="false">IF(X59&gt;0,IF(AJ59&gt;=0,AJ59-X59,0),0)</f>
        <v>0</v>
      </c>
      <c r="AM59" s="17" t="n">
        <f aca="false">AF59</f>
        <v>0</v>
      </c>
      <c r="AN59" s="26" t="str">
        <f aca="false">IF(AM59="","",SUMIF($AD$5:$AD$220,"="&amp;AM59,$AJ$5:$AJ$220))</f>
        <v/>
      </c>
      <c r="AO59" s="26" t="e">
        <f aca="false">IF(AG59&gt;=0,IF(AN59&gt;=0,AG59-AN59,0),0)</f>
        <v>#VALUE!</v>
      </c>
      <c r="AQ59" s="27" t="n">
        <f aca="false">Z59</f>
        <v>0</v>
      </c>
      <c r="AR59" s="17" t="n">
        <f aca="false">AA59</f>
        <v>0</v>
      </c>
      <c r="AS59" s="26" t="str">
        <f aca="false">IF(AQ59="","",IF(AR59="",SUMIF($B$5:$B$220,"="&amp;AQ59,$AJ$5:$AJ$220),SUMIFS($AJ$5:$AJ$220, $B$5:$B$220, "="&amp;AQ59, $C$5:$C$220,"="&amp;AR59)))</f>
        <v/>
      </c>
      <c r="AT59" s="31" t="str">
        <f aca="false">IF(AU59&gt;0,"anular",IF(AU59&lt;0,"reforçar","nenhuma"))</f>
        <v>nenhuma</v>
      </c>
      <c r="AU59" s="26" t="n">
        <f aca="false">IF(AB59&gt;0,IF(AS59&gt;=0,AB59-AS59,0),0)</f>
        <v>0</v>
      </c>
    </row>
    <row r="60" customFormat="false" ht="15" hidden="false" customHeight="false" outlineLevel="0" collapsed="false">
      <c r="A60" s="15" t="n">
        <v>56</v>
      </c>
      <c r="B60" s="27"/>
      <c r="C60" s="17"/>
      <c r="D60" s="17"/>
      <c r="E60" s="17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R60" s="21" t="n">
        <f aca="false">IF(SUM(F60:P60)&gt;0,ROUND(AVERAGE(F60:P60),4),0)</f>
        <v>0</v>
      </c>
      <c r="T60" s="22" t="n">
        <v>0</v>
      </c>
      <c r="U60" s="39"/>
      <c r="V60" s="41"/>
      <c r="W60" s="39"/>
      <c r="X60" s="26" t="n">
        <f aca="false">IF(T60&gt;0,T60,R60)*V60</f>
        <v>0</v>
      </c>
      <c r="Z60" s="27"/>
      <c r="AA60" s="17"/>
      <c r="AB60" s="26" t="n">
        <f aca="false">IF(Z60="",0,IF(AA60="",SUMIF($B$5:$B$220,"="&amp;Z60,$X$5:$X$220),SUMIFS($X$5:$X$220, $B$5:$B$220, "="&amp;Z60, $C$5:$C$220,"="&amp;AA60)))</f>
        <v>0</v>
      </c>
      <c r="AD60" s="29"/>
      <c r="AF60" s="17"/>
      <c r="AG60" s="26" t="n">
        <f aca="false">IF(AF60="",0,SUMIF($AD$5:$AD$220,"="&amp;AF60,$X$5:$X$220))</f>
        <v>0</v>
      </c>
      <c r="AI60" s="20"/>
      <c r="AJ60" s="26" t="n">
        <f aca="false">AI60*V60</f>
        <v>0</v>
      </c>
      <c r="AK60" s="30" t="n">
        <f aca="false">IF(X60&gt;0,IF(AJ60&gt;=0,AJ60-X60,0),0)</f>
        <v>0</v>
      </c>
      <c r="AM60" s="17" t="n">
        <f aca="false">AF60</f>
        <v>0</v>
      </c>
      <c r="AN60" s="26" t="str">
        <f aca="false">IF(AM60="","",SUMIF($AD$5:$AD$220,"="&amp;AM60,$AJ$5:$AJ$220))</f>
        <v/>
      </c>
      <c r="AO60" s="26" t="e">
        <f aca="false">IF(AG60&gt;=0,IF(AN60&gt;=0,AG60-AN60,0),0)</f>
        <v>#VALUE!</v>
      </c>
      <c r="AQ60" s="27" t="n">
        <f aca="false">Z60</f>
        <v>0</v>
      </c>
      <c r="AR60" s="17" t="n">
        <f aca="false">AA60</f>
        <v>0</v>
      </c>
      <c r="AS60" s="26" t="str">
        <f aca="false">IF(AQ60="","",IF(AR60="",SUMIF($B$5:$B$220,"="&amp;AQ60,$AJ$5:$AJ$220),SUMIFS($AJ$5:$AJ$220, $B$5:$B$220, "="&amp;AQ60, $C$5:$C$220,"="&amp;AR60)))</f>
        <v/>
      </c>
      <c r="AT60" s="31" t="str">
        <f aca="false">IF(AU60&gt;0,"anular",IF(AU60&lt;0,"reforçar","nenhuma"))</f>
        <v>nenhuma</v>
      </c>
      <c r="AU60" s="26" t="n">
        <f aca="false">IF(AB60&gt;0,IF(AS60&gt;=0,AB60-AS60,0),0)</f>
        <v>0</v>
      </c>
    </row>
    <row r="61" customFormat="false" ht="15" hidden="false" customHeight="false" outlineLevel="0" collapsed="false">
      <c r="A61" s="15" t="n">
        <v>57</v>
      </c>
      <c r="B61" s="27"/>
      <c r="C61" s="17"/>
      <c r="D61" s="17"/>
      <c r="E61" s="17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R61" s="21" t="n">
        <f aca="false">IF(SUM(F61:P61)&gt;0,ROUND(AVERAGE(F61:P61),4),0)</f>
        <v>0</v>
      </c>
      <c r="T61" s="22" t="n">
        <v>0</v>
      </c>
      <c r="U61" s="39"/>
      <c r="V61" s="41"/>
      <c r="W61" s="39"/>
      <c r="X61" s="26" t="n">
        <f aca="false">IF(T61&gt;0,T61,R61)*V61</f>
        <v>0</v>
      </c>
      <c r="Z61" s="27"/>
      <c r="AA61" s="17"/>
      <c r="AB61" s="26" t="n">
        <f aca="false">IF(Z61="",0,IF(AA61="",SUMIF($B$5:$B$220,"="&amp;Z61,$X$5:$X$220),SUMIFS($X$5:$X$220, $B$5:$B$220, "="&amp;Z61, $C$5:$C$220,"="&amp;AA61)))</f>
        <v>0</v>
      </c>
      <c r="AD61" s="29"/>
      <c r="AF61" s="17"/>
      <c r="AG61" s="26" t="n">
        <f aca="false">IF(AF61="",0,SUMIF($AD$5:$AD$220,"="&amp;AF61,$X$5:$X$220))</f>
        <v>0</v>
      </c>
      <c r="AI61" s="20"/>
      <c r="AJ61" s="26" t="n">
        <f aca="false">AI61*V61</f>
        <v>0</v>
      </c>
      <c r="AK61" s="30" t="n">
        <f aca="false">IF(X61&gt;0,IF(AJ61&gt;=0,AJ61-X61,0),0)</f>
        <v>0</v>
      </c>
      <c r="AM61" s="17" t="n">
        <f aca="false">AF61</f>
        <v>0</v>
      </c>
      <c r="AN61" s="26" t="str">
        <f aca="false">IF(AM61="","",SUMIF($AD$5:$AD$220,"="&amp;AM61,$AJ$5:$AJ$220))</f>
        <v/>
      </c>
      <c r="AO61" s="26" t="e">
        <f aca="false">IF(AG61&gt;=0,IF(AN61&gt;=0,AG61-AN61,0),0)</f>
        <v>#VALUE!</v>
      </c>
      <c r="AQ61" s="27" t="n">
        <f aca="false">Z61</f>
        <v>0</v>
      </c>
      <c r="AR61" s="17" t="n">
        <f aca="false">AA61</f>
        <v>0</v>
      </c>
      <c r="AS61" s="26" t="str">
        <f aca="false">IF(AQ61="","",IF(AR61="",SUMIF($B$5:$B$220,"="&amp;AQ61,$AJ$5:$AJ$220),SUMIFS($AJ$5:$AJ$220, $B$5:$B$220, "="&amp;AQ61, $C$5:$C$220,"="&amp;AR61)))</f>
        <v/>
      </c>
      <c r="AT61" s="31" t="str">
        <f aca="false">IF(AU61&gt;0,"anular",IF(AU61&lt;0,"reforçar","nenhuma"))</f>
        <v>nenhuma</v>
      </c>
      <c r="AU61" s="26" t="n">
        <f aca="false">IF(AB61&gt;0,IF(AS61&gt;=0,AB61-AS61,0),0)</f>
        <v>0</v>
      </c>
    </row>
    <row r="62" customFormat="false" ht="15" hidden="false" customHeight="false" outlineLevel="0" collapsed="false">
      <c r="A62" s="15" t="n">
        <v>58</v>
      </c>
      <c r="B62" s="27"/>
      <c r="C62" s="17"/>
      <c r="D62" s="17"/>
      <c r="E62" s="17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R62" s="21" t="n">
        <f aca="false">IF(SUM(F62:P62)&gt;0,ROUND(AVERAGE(F62:P62),4),0)</f>
        <v>0</v>
      </c>
      <c r="T62" s="22" t="n">
        <v>0</v>
      </c>
      <c r="U62" s="39"/>
      <c r="V62" s="41"/>
      <c r="W62" s="39"/>
      <c r="X62" s="26" t="n">
        <f aca="false">IF(T62&gt;0,T62,R62)*V62</f>
        <v>0</v>
      </c>
      <c r="Z62" s="27"/>
      <c r="AA62" s="17"/>
      <c r="AB62" s="26" t="n">
        <f aca="false">IF(Z62="",0,IF(AA62="",SUMIF($B$5:$B$220,"="&amp;Z62,$X$5:$X$220),SUMIFS($X$5:$X$220, $B$5:$B$220, "="&amp;Z62, $C$5:$C$220,"="&amp;AA62)))</f>
        <v>0</v>
      </c>
      <c r="AD62" s="29"/>
      <c r="AF62" s="17"/>
      <c r="AG62" s="26" t="n">
        <f aca="false">IF(AF62="",0,SUMIF($AD$5:$AD$220,"="&amp;AF62,$X$5:$X$220))</f>
        <v>0</v>
      </c>
      <c r="AI62" s="20"/>
      <c r="AJ62" s="26" t="n">
        <f aca="false">AI62*V62</f>
        <v>0</v>
      </c>
      <c r="AK62" s="30" t="n">
        <f aca="false">IF(X62&gt;0,IF(AJ62&gt;=0,AJ62-X62,0),0)</f>
        <v>0</v>
      </c>
      <c r="AM62" s="17" t="n">
        <f aca="false">AF62</f>
        <v>0</v>
      </c>
      <c r="AN62" s="26" t="str">
        <f aca="false">IF(AM62="","",SUMIF($AD$5:$AD$220,"="&amp;AM62,$AJ$5:$AJ$220))</f>
        <v/>
      </c>
      <c r="AO62" s="26" t="e">
        <f aca="false">IF(AG62&gt;=0,IF(AN62&gt;=0,AG62-AN62,0),0)</f>
        <v>#VALUE!</v>
      </c>
      <c r="AQ62" s="27" t="n">
        <f aca="false">Z62</f>
        <v>0</v>
      </c>
      <c r="AR62" s="17" t="n">
        <f aca="false">AA62</f>
        <v>0</v>
      </c>
      <c r="AS62" s="26" t="str">
        <f aca="false">IF(AQ62="","",IF(AR62="",SUMIF($B$5:$B$220,"="&amp;AQ62,$AJ$5:$AJ$220),SUMIFS($AJ$5:$AJ$220, $B$5:$B$220, "="&amp;AQ62, $C$5:$C$220,"="&amp;AR62)))</f>
        <v/>
      </c>
      <c r="AT62" s="31" t="str">
        <f aca="false">IF(AU62&gt;0,"anular",IF(AU62&lt;0,"reforçar","nenhuma"))</f>
        <v>nenhuma</v>
      </c>
      <c r="AU62" s="26" t="n">
        <f aca="false">IF(AB62&gt;0,IF(AS62&gt;=0,AB62-AS62,0),0)</f>
        <v>0</v>
      </c>
    </row>
    <row r="63" customFormat="false" ht="15" hidden="false" customHeight="false" outlineLevel="0" collapsed="false">
      <c r="A63" s="15" t="n">
        <v>59</v>
      </c>
      <c r="B63" s="27"/>
      <c r="C63" s="17"/>
      <c r="D63" s="17"/>
      <c r="E63" s="17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R63" s="21" t="n">
        <f aca="false">IF(SUM(F63:P63)&gt;0,ROUND(AVERAGE(F63:P63),4),0)</f>
        <v>0</v>
      </c>
      <c r="T63" s="22" t="n">
        <v>0</v>
      </c>
      <c r="U63" s="39"/>
      <c r="V63" s="29"/>
      <c r="W63" s="39"/>
      <c r="X63" s="26" t="n">
        <f aca="false">IF(T63&gt;0,T63,R63)*V63</f>
        <v>0</v>
      </c>
      <c r="Z63" s="27"/>
      <c r="AA63" s="17"/>
      <c r="AB63" s="26" t="n">
        <f aca="false">IF(Z63="",0,IF(AA63="",SUMIF($B$5:$B$220,"="&amp;Z63,$X$5:$X$220),SUMIFS($X$5:$X$220, $B$5:$B$220, "="&amp;Z63, $C$5:$C$220,"="&amp;AA63)))</f>
        <v>0</v>
      </c>
      <c r="AD63" s="29"/>
      <c r="AF63" s="17"/>
      <c r="AG63" s="26" t="n">
        <f aca="false">IF(AF63="",0,SUMIF($AD$5:$AD$220,"="&amp;AF63,$X$5:$X$220))</f>
        <v>0</v>
      </c>
      <c r="AI63" s="20"/>
      <c r="AJ63" s="26" t="n">
        <f aca="false">AI63*V63</f>
        <v>0</v>
      </c>
      <c r="AK63" s="30" t="n">
        <f aca="false">IF(X63&gt;0,IF(AJ63&gt;=0,AJ63-X63,0),0)</f>
        <v>0</v>
      </c>
      <c r="AM63" s="17" t="n">
        <f aca="false">AF63</f>
        <v>0</v>
      </c>
      <c r="AN63" s="26" t="str">
        <f aca="false">IF(AM63="","",SUMIF($AD$5:$AD$220,"="&amp;AM63,$AJ$5:$AJ$220))</f>
        <v/>
      </c>
      <c r="AO63" s="26" t="e">
        <f aca="false">IF(AG63&gt;=0,IF(AN63&gt;=0,AG63-AN63,0),0)</f>
        <v>#VALUE!</v>
      </c>
      <c r="AQ63" s="27" t="n">
        <f aca="false">Z63</f>
        <v>0</v>
      </c>
      <c r="AR63" s="17" t="n">
        <f aca="false">AA63</f>
        <v>0</v>
      </c>
      <c r="AS63" s="26" t="str">
        <f aca="false">IF(AQ63="","",IF(AR63="",SUMIF($B$5:$B$220,"="&amp;AQ63,$AJ$5:$AJ$220),SUMIFS($AJ$5:$AJ$220, $B$5:$B$220, "="&amp;AQ63, $C$5:$C$220,"="&amp;AR63)))</f>
        <v/>
      </c>
      <c r="AT63" s="31" t="str">
        <f aca="false">IF(AU63&gt;0,"anular",IF(AU63&lt;0,"reforçar","nenhuma"))</f>
        <v>nenhuma</v>
      </c>
      <c r="AU63" s="26" t="n">
        <f aca="false">IF(AB63&gt;0,IF(AS63&gt;=0,AB63-AS63,0),0)</f>
        <v>0</v>
      </c>
    </row>
    <row r="64" customFormat="false" ht="15" hidden="false" customHeight="false" outlineLevel="0" collapsed="false">
      <c r="A64" s="15" t="n">
        <v>60</v>
      </c>
      <c r="B64" s="27"/>
      <c r="C64" s="17"/>
      <c r="D64" s="17"/>
      <c r="E64" s="17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R64" s="21" t="n">
        <f aca="false">IF(SUM(F64:P64)&gt;0,ROUND(AVERAGE(F64:P64),4),0)</f>
        <v>0</v>
      </c>
      <c r="T64" s="22" t="n">
        <v>0</v>
      </c>
      <c r="U64" s="39"/>
      <c r="V64" s="29"/>
      <c r="W64" s="39"/>
      <c r="X64" s="26" t="n">
        <f aca="false">IF(T64&gt;0,T64,R64)*V64</f>
        <v>0</v>
      </c>
      <c r="Z64" s="27"/>
      <c r="AA64" s="17"/>
      <c r="AB64" s="26" t="n">
        <f aca="false">IF(Z64="",0,IF(AA64="",SUMIF($B$5:$B$220,"="&amp;Z64,$X$5:$X$220),SUMIFS($X$5:$X$220, $B$5:$B$220, "="&amp;Z64, $C$5:$C$220,"="&amp;AA64)))</f>
        <v>0</v>
      </c>
      <c r="AD64" s="29"/>
      <c r="AF64" s="17"/>
      <c r="AG64" s="26" t="n">
        <f aca="false">IF(AF64="",0,SUMIF($AD$5:$AD$220,"="&amp;AF64,$X$5:$X$220))</f>
        <v>0</v>
      </c>
      <c r="AI64" s="20"/>
      <c r="AJ64" s="26" t="n">
        <f aca="false">AI64*V64</f>
        <v>0</v>
      </c>
      <c r="AK64" s="30" t="n">
        <f aca="false">IF(X64&gt;0,IF(AJ64&gt;=0,AJ64-X64,0),0)</f>
        <v>0</v>
      </c>
      <c r="AM64" s="17" t="n">
        <f aca="false">AF64</f>
        <v>0</v>
      </c>
      <c r="AN64" s="26" t="str">
        <f aca="false">IF(AM64="","",SUMIF($AD$5:$AD$220,"="&amp;AM64,$AJ$5:$AJ$220))</f>
        <v/>
      </c>
      <c r="AO64" s="26" t="e">
        <f aca="false">IF(AG64&gt;=0,IF(AN64&gt;=0,AG64-AN64,0),0)</f>
        <v>#VALUE!</v>
      </c>
      <c r="AQ64" s="27" t="n">
        <f aca="false">Z64</f>
        <v>0</v>
      </c>
      <c r="AR64" s="17" t="n">
        <f aca="false">AA64</f>
        <v>0</v>
      </c>
      <c r="AS64" s="26" t="str">
        <f aca="false">IF(AQ64="","",IF(AR64="",SUMIF($B$5:$B$220,"="&amp;AQ64,$AJ$5:$AJ$220),SUMIFS($AJ$5:$AJ$220, $B$5:$B$220, "="&amp;AQ64, $C$5:$C$220,"="&amp;AR64)))</f>
        <v/>
      </c>
      <c r="AT64" s="31" t="str">
        <f aca="false">IF(AU64&gt;0,"anular",IF(AU64&lt;0,"reforçar","nenhuma"))</f>
        <v>nenhuma</v>
      </c>
      <c r="AU64" s="26" t="n">
        <f aca="false">IF(AB64&gt;0,IF(AS64&gt;=0,AB64-AS64,0),0)</f>
        <v>0</v>
      </c>
    </row>
    <row r="65" customFormat="false" ht="15" hidden="false" customHeight="false" outlineLevel="0" collapsed="false">
      <c r="A65" s="15" t="n">
        <v>61</v>
      </c>
      <c r="B65" s="27"/>
      <c r="C65" s="17"/>
      <c r="D65" s="17"/>
      <c r="E65" s="17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R65" s="21" t="n">
        <f aca="false">IF(SUM(F65:P65)&gt;0,ROUND(AVERAGE(F65:P65),4),0)</f>
        <v>0</v>
      </c>
      <c r="T65" s="22" t="n">
        <v>0</v>
      </c>
      <c r="U65" s="39"/>
      <c r="V65" s="29"/>
      <c r="W65" s="39"/>
      <c r="X65" s="26" t="n">
        <f aca="false">IF(T65&gt;0,T65,R65)*V65</f>
        <v>0</v>
      </c>
      <c r="Z65" s="27"/>
      <c r="AA65" s="17"/>
      <c r="AB65" s="26" t="n">
        <f aca="false">IF(Z65="",0,IF(AA65="",SUMIF($B$5:$B$220,"="&amp;Z65,$X$5:$X$220),SUMIFS($X$5:$X$220, $B$5:$B$220, "="&amp;Z65, $C$5:$C$220,"="&amp;AA65)))</f>
        <v>0</v>
      </c>
      <c r="AD65" s="29"/>
      <c r="AF65" s="17"/>
      <c r="AG65" s="26" t="n">
        <f aca="false">IF(AF65="",0,SUMIF($AD$5:$AD$220,"="&amp;AF65,$X$5:$X$220))</f>
        <v>0</v>
      </c>
      <c r="AI65" s="20"/>
      <c r="AJ65" s="26" t="n">
        <f aca="false">AI65*V65</f>
        <v>0</v>
      </c>
      <c r="AK65" s="30" t="n">
        <f aca="false">IF(X65&gt;0,IF(AJ65&gt;=0,AJ65-X65,0),0)</f>
        <v>0</v>
      </c>
      <c r="AM65" s="17" t="n">
        <f aca="false">AF65</f>
        <v>0</v>
      </c>
      <c r="AN65" s="26" t="str">
        <f aca="false">IF(AM65="","",SUMIF($AD$5:$AD$220,"="&amp;AM65,$AJ$5:$AJ$220))</f>
        <v/>
      </c>
      <c r="AO65" s="26" t="e">
        <f aca="false">IF(AG65&gt;=0,IF(AN65&gt;=0,AG65-AN65,0),0)</f>
        <v>#VALUE!</v>
      </c>
      <c r="AQ65" s="27" t="n">
        <f aca="false">Z65</f>
        <v>0</v>
      </c>
      <c r="AR65" s="17" t="n">
        <f aca="false">AA65</f>
        <v>0</v>
      </c>
      <c r="AS65" s="26" t="str">
        <f aca="false">IF(AQ65="","",IF(AR65="",SUMIF($B$5:$B$220,"="&amp;AQ65,$AJ$5:$AJ$220),SUMIFS($AJ$5:$AJ$220, $B$5:$B$220, "="&amp;AQ65, $C$5:$C$220,"="&amp;AR65)))</f>
        <v/>
      </c>
      <c r="AT65" s="31" t="str">
        <f aca="false">IF(AU65&gt;0,"anular",IF(AU65&lt;0,"reforçar","nenhuma"))</f>
        <v>nenhuma</v>
      </c>
      <c r="AU65" s="26" t="n">
        <f aca="false">IF(AB65&gt;0,IF(AS65&gt;=0,AB65-AS65,0),0)</f>
        <v>0</v>
      </c>
    </row>
    <row r="66" customFormat="false" ht="15" hidden="false" customHeight="false" outlineLevel="0" collapsed="false">
      <c r="A66" s="15" t="n">
        <v>62</v>
      </c>
      <c r="B66" s="27"/>
      <c r="C66" s="17"/>
      <c r="D66" s="17"/>
      <c r="E66" s="17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R66" s="21" t="n">
        <f aca="false">IF(SUM(F66:P66)&gt;0,ROUND(AVERAGE(F66:P66),4),0)</f>
        <v>0</v>
      </c>
      <c r="T66" s="22" t="n">
        <v>0</v>
      </c>
      <c r="U66" s="39"/>
      <c r="V66" s="29"/>
      <c r="W66" s="39"/>
      <c r="X66" s="26" t="n">
        <f aca="false">IF(T66&gt;0,T66,R66)*V66</f>
        <v>0</v>
      </c>
      <c r="Z66" s="27"/>
      <c r="AA66" s="17"/>
      <c r="AB66" s="26" t="n">
        <f aca="false">IF(Z66="",0,IF(AA66="",SUMIF($B$5:$B$220,"="&amp;Z66,$X$5:$X$220),SUMIFS($X$5:$X$220, $B$5:$B$220, "="&amp;Z66, $C$5:$C$220,"="&amp;AA66)))</f>
        <v>0</v>
      </c>
      <c r="AD66" s="29"/>
      <c r="AF66" s="17"/>
      <c r="AG66" s="26" t="n">
        <f aca="false">IF(AF66="",0,SUMIF($AD$5:$AD$220,"="&amp;AF66,$X$5:$X$220))</f>
        <v>0</v>
      </c>
      <c r="AI66" s="20"/>
      <c r="AJ66" s="26" t="n">
        <f aca="false">AI66*V66</f>
        <v>0</v>
      </c>
      <c r="AK66" s="30" t="n">
        <f aca="false">IF(X66&gt;0,IF(AJ66&gt;=0,AJ66-X66,0),0)</f>
        <v>0</v>
      </c>
      <c r="AM66" s="17" t="n">
        <f aca="false">AF66</f>
        <v>0</v>
      </c>
      <c r="AN66" s="26" t="str">
        <f aca="false">IF(AM66="","",SUMIF($AD$5:$AD$220,"="&amp;AM66,$AJ$5:$AJ$220))</f>
        <v/>
      </c>
      <c r="AO66" s="26" t="e">
        <f aca="false">IF(AG66&gt;=0,IF(AN66&gt;=0,AG66-AN66,0),0)</f>
        <v>#VALUE!</v>
      </c>
      <c r="AQ66" s="27" t="n">
        <f aca="false">Z66</f>
        <v>0</v>
      </c>
      <c r="AR66" s="17" t="n">
        <f aca="false">AA66</f>
        <v>0</v>
      </c>
      <c r="AS66" s="26" t="str">
        <f aca="false">IF(AQ66="","",IF(AR66="",SUMIF($B$5:$B$220,"="&amp;AQ66,$AJ$5:$AJ$220),SUMIFS($AJ$5:$AJ$220, $B$5:$B$220, "="&amp;AQ66, $C$5:$C$220,"="&amp;AR66)))</f>
        <v/>
      </c>
      <c r="AT66" s="31" t="str">
        <f aca="false">IF(AU66&gt;0,"anular",IF(AU66&lt;0,"reforçar","nenhuma"))</f>
        <v>nenhuma</v>
      </c>
      <c r="AU66" s="26" t="n">
        <f aca="false">IF(AB66&gt;0,IF(AS66&gt;=0,AB66-AS66,0),0)</f>
        <v>0</v>
      </c>
    </row>
    <row r="67" customFormat="false" ht="15" hidden="false" customHeight="false" outlineLevel="0" collapsed="false">
      <c r="A67" s="15" t="n">
        <v>63</v>
      </c>
      <c r="B67" s="27"/>
      <c r="C67" s="17"/>
      <c r="D67" s="17"/>
      <c r="E67" s="17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R67" s="21" t="n">
        <f aca="false">IF(SUM(F67:P67)&gt;0,ROUND(AVERAGE(F67:P67),4),0)</f>
        <v>0</v>
      </c>
      <c r="T67" s="22" t="n">
        <v>0</v>
      </c>
      <c r="U67" s="39"/>
      <c r="V67" s="29"/>
      <c r="W67" s="39"/>
      <c r="X67" s="26" t="n">
        <f aca="false">IF(T67&gt;0,T67,R67)*V67</f>
        <v>0</v>
      </c>
      <c r="Z67" s="27"/>
      <c r="AA67" s="17"/>
      <c r="AB67" s="26" t="n">
        <f aca="false">IF(Z67="",0,IF(AA67="",SUMIF($B$5:$B$220,"="&amp;Z67,$X$5:$X$220),SUMIFS($X$5:$X$220, $B$5:$B$220, "="&amp;Z67, $C$5:$C$220,"="&amp;AA67)))</f>
        <v>0</v>
      </c>
      <c r="AD67" s="29"/>
      <c r="AF67" s="17"/>
      <c r="AG67" s="26" t="n">
        <f aca="false">IF(AF67="",0,SUMIF($AD$5:$AD$220,"="&amp;AF67,$X$5:$X$220))</f>
        <v>0</v>
      </c>
      <c r="AI67" s="20"/>
      <c r="AJ67" s="26" t="n">
        <f aca="false">AI67*V67</f>
        <v>0</v>
      </c>
      <c r="AK67" s="30" t="n">
        <f aca="false">IF(X67&gt;0,IF(AJ67&gt;=0,AJ67-X67,0),0)</f>
        <v>0</v>
      </c>
      <c r="AM67" s="17" t="n">
        <f aca="false">AF67</f>
        <v>0</v>
      </c>
      <c r="AN67" s="26" t="str">
        <f aca="false">IF(AM67="","",SUMIF($AD$5:$AD$220,"="&amp;AM67,$AJ$5:$AJ$220))</f>
        <v/>
      </c>
      <c r="AO67" s="26" t="e">
        <f aca="false">IF(AG67&gt;=0,IF(AN67&gt;=0,AG67-AN67,0),0)</f>
        <v>#VALUE!</v>
      </c>
      <c r="AQ67" s="27" t="n">
        <f aca="false">Z67</f>
        <v>0</v>
      </c>
      <c r="AR67" s="17" t="n">
        <f aca="false">AA67</f>
        <v>0</v>
      </c>
      <c r="AS67" s="26" t="str">
        <f aca="false">IF(AQ67="","",IF(AR67="",SUMIF($B$5:$B$220,"="&amp;AQ67,$AJ$5:$AJ$220),SUMIFS($AJ$5:$AJ$220, $B$5:$B$220, "="&amp;AQ67, $C$5:$C$220,"="&amp;AR67)))</f>
        <v/>
      </c>
      <c r="AT67" s="31" t="str">
        <f aca="false">IF(AU67&gt;0,"anular",IF(AU67&lt;0,"reforçar","nenhuma"))</f>
        <v>nenhuma</v>
      </c>
      <c r="AU67" s="26" t="n">
        <f aca="false">IF(AB67&gt;0,IF(AS67&gt;=0,AB67-AS67,0),0)</f>
        <v>0</v>
      </c>
    </row>
    <row r="68" customFormat="false" ht="15" hidden="false" customHeight="false" outlineLevel="0" collapsed="false">
      <c r="A68" s="15" t="n">
        <v>64</v>
      </c>
      <c r="B68" s="27"/>
      <c r="C68" s="17"/>
      <c r="D68" s="17"/>
      <c r="E68" s="17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R68" s="21" t="n">
        <f aca="false">IF(SUM(F68:P68)&gt;0,ROUND(AVERAGE(F68:P68),4),0)</f>
        <v>0</v>
      </c>
      <c r="T68" s="22" t="n">
        <v>0</v>
      </c>
      <c r="U68" s="39"/>
      <c r="V68" s="29"/>
      <c r="W68" s="39"/>
      <c r="X68" s="26" t="n">
        <f aca="false">IF(T68&gt;0,T68,R68)*V68</f>
        <v>0</v>
      </c>
      <c r="Z68" s="27"/>
      <c r="AA68" s="17"/>
      <c r="AB68" s="26" t="n">
        <f aca="false">IF(Z68="",0,IF(AA68="",SUMIF($B$5:$B$220,"="&amp;Z68,$X$5:$X$220),SUMIFS($X$5:$X$220, $B$5:$B$220, "="&amp;Z68, $C$5:$C$220,"="&amp;AA68)))</f>
        <v>0</v>
      </c>
      <c r="AD68" s="29"/>
      <c r="AF68" s="17"/>
      <c r="AG68" s="26" t="n">
        <f aca="false">IF(AF68="",0,SUMIF($AD$5:$AD$220,"="&amp;AF68,$X$5:$X$220))</f>
        <v>0</v>
      </c>
      <c r="AI68" s="20"/>
      <c r="AJ68" s="26" t="n">
        <f aca="false">AI68*V68</f>
        <v>0</v>
      </c>
      <c r="AK68" s="30" t="n">
        <f aca="false">IF(X68&gt;0,IF(AJ68&gt;=0,AJ68-X68,0),0)</f>
        <v>0</v>
      </c>
      <c r="AM68" s="17" t="n">
        <f aca="false">AF68</f>
        <v>0</v>
      </c>
      <c r="AN68" s="26" t="str">
        <f aca="false">IF(AM68="","",SUMIF($AD$5:$AD$220,"="&amp;AM68,$AJ$5:$AJ$220))</f>
        <v/>
      </c>
      <c r="AO68" s="26" t="e">
        <f aca="false">IF(AG68&gt;=0,IF(AN68&gt;=0,AG68-AN68,0),0)</f>
        <v>#VALUE!</v>
      </c>
      <c r="AQ68" s="27" t="n">
        <f aca="false">Z68</f>
        <v>0</v>
      </c>
      <c r="AR68" s="17" t="n">
        <f aca="false">AA68</f>
        <v>0</v>
      </c>
      <c r="AS68" s="26" t="str">
        <f aca="false">IF(AQ68="","",IF(AR68="",SUMIF($B$5:$B$220,"="&amp;AQ68,$AJ$5:$AJ$220),SUMIFS($AJ$5:$AJ$220, $B$5:$B$220, "="&amp;AQ68, $C$5:$C$220,"="&amp;AR68)))</f>
        <v/>
      </c>
      <c r="AT68" s="31" t="str">
        <f aca="false">IF(AU68&gt;0,"anular",IF(AU68&lt;0,"reforçar","nenhuma"))</f>
        <v>nenhuma</v>
      </c>
      <c r="AU68" s="26" t="n">
        <f aca="false">IF(AB68&gt;0,IF(AS68&gt;=0,AB68-AS68,0),0)</f>
        <v>0</v>
      </c>
    </row>
    <row r="69" customFormat="false" ht="15" hidden="false" customHeight="false" outlineLevel="0" collapsed="false">
      <c r="A69" s="15" t="n">
        <v>65</v>
      </c>
      <c r="B69" s="27"/>
      <c r="C69" s="17"/>
      <c r="D69" s="17"/>
      <c r="E69" s="17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R69" s="21" t="n">
        <f aca="false">IF(SUM(F69:P69)&gt;0,ROUND(AVERAGE(F69:P69),4),0)</f>
        <v>0</v>
      </c>
      <c r="T69" s="22" t="n">
        <v>0</v>
      </c>
      <c r="U69" s="39"/>
      <c r="V69" s="29"/>
      <c r="W69" s="39"/>
      <c r="X69" s="26" t="n">
        <f aca="false">IF(T69&gt;0,T69,R69)*V69</f>
        <v>0</v>
      </c>
      <c r="Z69" s="27"/>
      <c r="AA69" s="17"/>
      <c r="AB69" s="26" t="n">
        <f aca="false">IF(Z69="",0,IF(AA69="",SUMIF($B$5:$B$220,"="&amp;Z69,$X$5:$X$220),SUMIFS($X$5:$X$220, $B$5:$B$220, "="&amp;Z69, $C$5:$C$220,"="&amp;AA69)))</f>
        <v>0</v>
      </c>
      <c r="AD69" s="29"/>
      <c r="AF69" s="17"/>
      <c r="AG69" s="26" t="n">
        <f aca="false">IF(AF69="",0,SUMIF($AD$5:$AD$220,"="&amp;AF69,$X$5:$X$220))</f>
        <v>0</v>
      </c>
      <c r="AI69" s="20"/>
      <c r="AJ69" s="26" t="n">
        <f aca="false">AI69*V69</f>
        <v>0</v>
      </c>
      <c r="AK69" s="30" t="n">
        <f aca="false">IF(X69&gt;0,IF(AJ69&gt;=0,AJ69-X69,0),0)</f>
        <v>0</v>
      </c>
      <c r="AM69" s="17" t="n">
        <f aca="false">AF69</f>
        <v>0</v>
      </c>
      <c r="AN69" s="26" t="str">
        <f aca="false">IF(AM69="","",SUMIF($AD$5:$AD$220,"="&amp;AM69,$AJ$5:$AJ$220))</f>
        <v/>
      </c>
      <c r="AO69" s="26" t="e">
        <f aca="false">IF(AG69&gt;=0,IF(AN69&gt;=0,AG69-AN69,0),0)</f>
        <v>#VALUE!</v>
      </c>
      <c r="AQ69" s="27" t="n">
        <f aca="false">Z69</f>
        <v>0</v>
      </c>
      <c r="AR69" s="17" t="n">
        <f aca="false">AA69</f>
        <v>0</v>
      </c>
      <c r="AS69" s="26" t="str">
        <f aca="false">IF(AQ69="","",IF(AR69="",SUMIF($B$5:$B$220,"="&amp;AQ69,$AJ$5:$AJ$220),SUMIFS($AJ$5:$AJ$220, $B$5:$B$220, "="&amp;AQ69, $C$5:$C$220,"="&amp;AR69)))</f>
        <v/>
      </c>
      <c r="AT69" s="31" t="str">
        <f aca="false">IF(AU69&gt;0,"anular",IF(AU69&lt;0,"reforçar","nenhuma"))</f>
        <v>nenhuma</v>
      </c>
      <c r="AU69" s="26" t="n">
        <f aca="false">IF(AB69&gt;0,IF(AS69&gt;=0,AB69-AS69,0),0)</f>
        <v>0</v>
      </c>
    </row>
    <row r="70" customFormat="false" ht="15" hidden="false" customHeight="false" outlineLevel="0" collapsed="false">
      <c r="A70" s="15" t="n">
        <v>66</v>
      </c>
      <c r="B70" s="27"/>
      <c r="C70" s="17"/>
      <c r="D70" s="17"/>
      <c r="E70" s="17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R70" s="21" t="n">
        <f aca="false">IF(SUM(F70:P70)&gt;0,ROUND(AVERAGE(F70:P70),4),0)</f>
        <v>0</v>
      </c>
      <c r="T70" s="22" t="n">
        <v>0</v>
      </c>
      <c r="U70" s="39"/>
      <c r="V70" s="29"/>
      <c r="W70" s="39"/>
      <c r="X70" s="26" t="n">
        <f aca="false">IF(T70&gt;0,T70,R70)*V70</f>
        <v>0</v>
      </c>
      <c r="Z70" s="27"/>
      <c r="AA70" s="17"/>
      <c r="AB70" s="26" t="n">
        <f aca="false">IF(Z70="",0,IF(AA70="",SUMIF($B$5:$B$220,"="&amp;Z70,$X$5:$X$220),SUMIFS($X$5:$X$220, $B$5:$B$220, "="&amp;Z70, $C$5:$C$220,"="&amp;AA70)))</f>
        <v>0</v>
      </c>
      <c r="AD70" s="29"/>
      <c r="AF70" s="17"/>
      <c r="AG70" s="26" t="n">
        <f aca="false">IF(AF70="",0,SUMIF($AD$5:$AD$220,"="&amp;AF70,$X$5:$X$220))</f>
        <v>0</v>
      </c>
      <c r="AI70" s="20"/>
      <c r="AJ70" s="26" t="n">
        <f aca="false">AI70*V70</f>
        <v>0</v>
      </c>
      <c r="AK70" s="30" t="n">
        <f aca="false">IF(X70&gt;0,IF(AJ70&gt;=0,AJ70-X70,0),0)</f>
        <v>0</v>
      </c>
      <c r="AM70" s="17" t="n">
        <f aca="false">AF70</f>
        <v>0</v>
      </c>
      <c r="AN70" s="26" t="str">
        <f aca="false">IF(AM70="","",SUMIF($AD$5:$AD$220,"="&amp;AM70,$AJ$5:$AJ$220))</f>
        <v/>
      </c>
      <c r="AO70" s="26" t="e">
        <f aca="false">IF(AG70&gt;=0,IF(AN70&gt;=0,AG70-AN70,0),0)</f>
        <v>#VALUE!</v>
      </c>
      <c r="AQ70" s="27" t="n">
        <f aca="false">Z70</f>
        <v>0</v>
      </c>
      <c r="AR70" s="17" t="n">
        <f aca="false">AA70</f>
        <v>0</v>
      </c>
      <c r="AS70" s="26" t="str">
        <f aca="false">IF(AQ70="","",IF(AR70="",SUMIF($B$5:$B$220,"="&amp;AQ70,$AJ$5:$AJ$220),SUMIFS($AJ$5:$AJ$220, $B$5:$B$220, "="&amp;AQ70, $C$5:$C$220,"="&amp;AR70)))</f>
        <v/>
      </c>
      <c r="AT70" s="31" t="str">
        <f aca="false">IF(AU70&gt;0,"anular",IF(AU70&lt;0,"reforçar","nenhuma"))</f>
        <v>nenhuma</v>
      </c>
      <c r="AU70" s="26" t="n">
        <f aca="false">IF(AB70&gt;0,IF(AS70&gt;=0,AB70-AS70,0),0)</f>
        <v>0</v>
      </c>
    </row>
    <row r="71" customFormat="false" ht="15" hidden="false" customHeight="false" outlineLevel="0" collapsed="false">
      <c r="A71" s="15" t="n">
        <v>67</v>
      </c>
      <c r="B71" s="27"/>
      <c r="C71" s="17"/>
      <c r="D71" s="17"/>
      <c r="E71" s="17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R71" s="21" t="n">
        <f aca="false">IF(SUM(F71:P71)&gt;0,ROUND(AVERAGE(F71:P71),4),0)</f>
        <v>0</v>
      </c>
      <c r="T71" s="22" t="n">
        <v>0</v>
      </c>
      <c r="U71" s="39"/>
      <c r="V71" s="29"/>
      <c r="W71" s="39"/>
      <c r="X71" s="26" t="n">
        <f aca="false">IF(T71&gt;0,T71,R71)*V71</f>
        <v>0</v>
      </c>
      <c r="Z71" s="27"/>
      <c r="AA71" s="17"/>
      <c r="AB71" s="26" t="n">
        <f aca="false">IF(Z71="",0,IF(AA71="",SUMIF($B$5:$B$220,"="&amp;Z71,$X$5:$X$220),SUMIFS($X$5:$X$220, $B$5:$B$220, "="&amp;Z71, $C$5:$C$220,"="&amp;AA71)))</f>
        <v>0</v>
      </c>
      <c r="AD71" s="29"/>
      <c r="AF71" s="17"/>
      <c r="AG71" s="26" t="n">
        <f aca="false">IF(AF71="",0,SUMIF($AD$5:$AD$220,"="&amp;AF71,$X$5:$X$220))</f>
        <v>0</v>
      </c>
      <c r="AI71" s="20"/>
      <c r="AJ71" s="26" t="n">
        <f aca="false">AI71*V71</f>
        <v>0</v>
      </c>
      <c r="AK71" s="30" t="n">
        <f aca="false">IF(X71&gt;0,IF(AJ71&gt;=0,AJ71-X71,0),0)</f>
        <v>0</v>
      </c>
      <c r="AM71" s="17" t="n">
        <f aca="false">AF71</f>
        <v>0</v>
      </c>
      <c r="AN71" s="26" t="str">
        <f aca="false">IF(AM71="","",SUMIF($AD$5:$AD$220,"="&amp;AM71,$AJ$5:$AJ$220))</f>
        <v/>
      </c>
      <c r="AO71" s="26" t="e">
        <f aca="false">IF(AG71&gt;=0,IF(AN71&gt;=0,AG71-AN71,0),0)</f>
        <v>#VALUE!</v>
      </c>
      <c r="AQ71" s="27" t="n">
        <f aca="false">Z71</f>
        <v>0</v>
      </c>
      <c r="AR71" s="17" t="n">
        <f aca="false">AA71</f>
        <v>0</v>
      </c>
      <c r="AS71" s="26" t="str">
        <f aca="false">IF(AQ71="","",IF(AR71="",SUMIF($B$5:$B$220,"="&amp;AQ71,$AJ$5:$AJ$220),SUMIFS($AJ$5:$AJ$220, $B$5:$B$220, "="&amp;AQ71, $C$5:$C$220,"="&amp;AR71)))</f>
        <v/>
      </c>
      <c r="AT71" s="31" t="str">
        <f aca="false">IF(AU71&gt;0,"anular",IF(AU71&lt;0,"reforçar","nenhuma"))</f>
        <v>nenhuma</v>
      </c>
      <c r="AU71" s="26" t="n">
        <f aca="false">IF(AB71&gt;0,IF(AS71&gt;=0,AB71-AS71,0),0)</f>
        <v>0</v>
      </c>
    </row>
    <row r="72" customFormat="false" ht="15" hidden="false" customHeight="false" outlineLevel="0" collapsed="false">
      <c r="A72" s="15" t="n">
        <v>68</v>
      </c>
      <c r="B72" s="27"/>
      <c r="C72" s="17"/>
      <c r="D72" s="17"/>
      <c r="E72" s="17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R72" s="21" t="n">
        <f aca="false">IF(SUM(F72:P72)&gt;0,ROUND(AVERAGE(F72:P72),4),0)</f>
        <v>0</v>
      </c>
      <c r="T72" s="22" t="n">
        <v>0</v>
      </c>
      <c r="U72" s="39"/>
      <c r="V72" s="29"/>
      <c r="W72" s="39"/>
      <c r="X72" s="26" t="n">
        <f aca="false">IF(T72&gt;0,T72,R72)*V72</f>
        <v>0</v>
      </c>
      <c r="Z72" s="27"/>
      <c r="AA72" s="17"/>
      <c r="AB72" s="26" t="n">
        <f aca="false">IF(Z72="",0,IF(AA72="",SUMIF($B$5:$B$220,"="&amp;Z72,$X$5:$X$220),SUMIFS($X$5:$X$220, $B$5:$B$220, "="&amp;Z72, $C$5:$C$220,"="&amp;AA72)))</f>
        <v>0</v>
      </c>
      <c r="AD72" s="29"/>
      <c r="AF72" s="17"/>
      <c r="AG72" s="26" t="n">
        <f aca="false">IF(AF72="",0,SUMIF($AD$5:$AD$220,"="&amp;AF72,$X$5:$X$220))</f>
        <v>0</v>
      </c>
      <c r="AI72" s="20"/>
      <c r="AJ72" s="26" t="n">
        <f aca="false">AI72*V72</f>
        <v>0</v>
      </c>
      <c r="AK72" s="30" t="n">
        <f aca="false">IF(X72&gt;0,IF(AJ72&gt;=0,AJ72-X72,0),0)</f>
        <v>0</v>
      </c>
      <c r="AM72" s="17" t="n">
        <f aca="false">AF72</f>
        <v>0</v>
      </c>
      <c r="AN72" s="26" t="str">
        <f aca="false">IF(AM72="","",SUMIF($AD$5:$AD$220,"="&amp;AM72,$AJ$5:$AJ$220))</f>
        <v/>
      </c>
      <c r="AO72" s="26" t="e">
        <f aca="false">IF(AG72&gt;=0,IF(AN72&gt;=0,AG72-AN72,0),0)</f>
        <v>#VALUE!</v>
      </c>
      <c r="AQ72" s="27" t="n">
        <f aca="false">Z72</f>
        <v>0</v>
      </c>
      <c r="AR72" s="17" t="n">
        <f aca="false">AA72</f>
        <v>0</v>
      </c>
      <c r="AS72" s="26" t="str">
        <f aca="false">IF(AQ72="","",IF(AR72="",SUMIF($B$5:$B$220,"="&amp;AQ72,$AJ$5:$AJ$220),SUMIFS($AJ$5:$AJ$220, $B$5:$B$220, "="&amp;AQ72, $C$5:$C$220,"="&amp;AR72)))</f>
        <v/>
      </c>
      <c r="AT72" s="31" t="str">
        <f aca="false">IF(AU72&gt;0,"anular",IF(AU72&lt;0,"reforçar","nenhuma"))</f>
        <v>nenhuma</v>
      </c>
      <c r="AU72" s="26" t="n">
        <f aca="false">IF(AB72&gt;0,IF(AS72&gt;=0,AB72-AS72,0),0)</f>
        <v>0</v>
      </c>
    </row>
    <row r="73" customFormat="false" ht="15" hidden="false" customHeight="false" outlineLevel="0" collapsed="false">
      <c r="A73" s="15" t="n">
        <v>69</v>
      </c>
      <c r="B73" s="27"/>
      <c r="C73" s="17"/>
      <c r="D73" s="17"/>
      <c r="E73" s="17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R73" s="21" t="n">
        <f aca="false">IF(SUM(F73:P73)&gt;0,ROUND(AVERAGE(F73:P73),4),0)</f>
        <v>0</v>
      </c>
      <c r="T73" s="22" t="n">
        <v>0</v>
      </c>
      <c r="U73" s="39"/>
      <c r="V73" s="29"/>
      <c r="W73" s="39"/>
      <c r="X73" s="26" t="n">
        <f aca="false">IF(T73&gt;0,T73,R73)*V73</f>
        <v>0</v>
      </c>
      <c r="Z73" s="27"/>
      <c r="AA73" s="17"/>
      <c r="AB73" s="26" t="n">
        <f aca="false">IF(Z73="",0,IF(AA73="",SUMIF($B$5:$B$220,"="&amp;Z73,$X$5:$X$220),SUMIFS($X$5:$X$220, $B$5:$B$220, "="&amp;Z73, $C$5:$C$220,"="&amp;AA73)))</f>
        <v>0</v>
      </c>
      <c r="AD73" s="29"/>
      <c r="AF73" s="17"/>
      <c r="AG73" s="26" t="n">
        <f aca="false">IF(AF73="",0,SUMIF($AD$5:$AD$220,"="&amp;AF73,$X$5:$X$220))</f>
        <v>0</v>
      </c>
      <c r="AI73" s="20"/>
      <c r="AJ73" s="26" t="n">
        <f aca="false">AI73*V73</f>
        <v>0</v>
      </c>
      <c r="AK73" s="30" t="n">
        <f aca="false">IF(X73&gt;0,IF(AJ73&gt;=0,AJ73-X73,0),0)</f>
        <v>0</v>
      </c>
      <c r="AM73" s="17" t="n">
        <f aca="false">AF73</f>
        <v>0</v>
      </c>
      <c r="AN73" s="26" t="str">
        <f aca="false">IF(AM73="","",SUMIF($AD$5:$AD$220,"="&amp;AM73,$AJ$5:$AJ$220))</f>
        <v/>
      </c>
      <c r="AO73" s="26" t="e">
        <f aca="false">IF(AG73&gt;=0,IF(AN73&gt;=0,AG73-AN73,0),0)</f>
        <v>#VALUE!</v>
      </c>
      <c r="AQ73" s="27" t="n">
        <f aca="false">Z73</f>
        <v>0</v>
      </c>
      <c r="AR73" s="17" t="n">
        <f aca="false">AA73</f>
        <v>0</v>
      </c>
      <c r="AS73" s="26" t="str">
        <f aca="false">IF(AQ73="","",IF(AR73="",SUMIF($B$5:$B$220,"="&amp;AQ73,$AJ$5:$AJ$220),SUMIFS($AJ$5:$AJ$220, $B$5:$B$220, "="&amp;AQ73, $C$5:$C$220,"="&amp;AR73)))</f>
        <v/>
      </c>
      <c r="AT73" s="31" t="str">
        <f aca="false">IF(AU73&gt;0,"anular",IF(AU73&lt;0,"reforçar","nenhuma"))</f>
        <v>nenhuma</v>
      </c>
      <c r="AU73" s="26" t="n">
        <f aca="false">IF(AB73&gt;0,IF(AS73&gt;=0,AB73-AS73,0),0)</f>
        <v>0</v>
      </c>
    </row>
    <row r="74" customFormat="false" ht="15" hidden="false" customHeight="false" outlineLevel="0" collapsed="false">
      <c r="A74" s="15" t="n">
        <v>70</v>
      </c>
      <c r="B74" s="27"/>
      <c r="C74" s="17"/>
      <c r="D74" s="17"/>
      <c r="E74" s="17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R74" s="21" t="n">
        <f aca="false">IF(SUM(F74:P74)&gt;0,ROUND(AVERAGE(F74:P74),4),0)</f>
        <v>0</v>
      </c>
      <c r="T74" s="22" t="n">
        <v>0</v>
      </c>
      <c r="U74" s="39"/>
      <c r="V74" s="29"/>
      <c r="W74" s="39"/>
      <c r="X74" s="26" t="n">
        <f aca="false">IF(T74&gt;0,T74,R74)*V74</f>
        <v>0</v>
      </c>
      <c r="Z74" s="27"/>
      <c r="AA74" s="17"/>
      <c r="AB74" s="26" t="n">
        <f aca="false">IF(Z74="",0,IF(AA74="",SUMIF($B$5:$B$220,"="&amp;Z74,$X$5:$X$220),SUMIFS($X$5:$X$220, $B$5:$B$220, "="&amp;Z74, $C$5:$C$220,"="&amp;AA74)))</f>
        <v>0</v>
      </c>
      <c r="AD74" s="29"/>
      <c r="AF74" s="17"/>
      <c r="AG74" s="26" t="n">
        <f aca="false">IF(AF74="",0,SUMIF($AD$5:$AD$220,"="&amp;AF74,$X$5:$X$220))</f>
        <v>0</v>
      </c>
      <c r="AI74" s="20"/>
      <c r="AJ74" s="26" t="n">
        <f aca="false">AI74*V74</f>
        <v>0</v>
      </c>
      <c r="AK74" s="30" t="n">
        <f aca="false">IF(X74&gt;0,IF(AJ74&gt;=0,AJ74-X74,0),0)</f>
        <v>0</v>
      </c>
      <c r="AM74" s="17" t="n">
        <f aca="false">AF74</f>
        <v>0</v>
      </c>
      <c r="AN74" s="26" t="str">
        <f aca="false">IF(AM74="","",SUMIF($AD$5:$AD$220,"="&amp;AM74,$AJ$5:$AJ$220))</f>
        <v/>
      </c>
      <c r="AO74" s="26" t="e">
        <f aca="false">IF(AG74&gt;=0,IF(AN74&gt;=0,AG74-AN74,0),0)</f>
        <v>#VALUE!</v>
      </c>
      <c r="AQ74" s="27" t="n">
        <f aca="false">Z74</f>
        <v>0</v>
      </c>
      <c r="AR74" s="17" t="n">
        <f aca="false">AA74</f>
        <v>0</v>
      </c>
      <c r="AS74" s="26" t="str">
        <f aca="false">IF(AQ74="","",IF(AR74="",SUMIF($B$5:$B$220,"="&amp;AQ74,$AJ$5:$AJ$220),SUMIFS($AJ$5:$AJ$220, $B$5:$B$220, "="&amp;AQ74, $C$5:$C$220,"="&amp;AR74)))</f>
        <v/>
      </c>
      <c r="AT74" s="31" t="str">
        <f aca="false">IF(AU74&gt;0,"anular",IF(AU74&lt;0,"reforçar","nenhuma"))</f>
        <v>nenhuma</v>
      </c>
      <c r="AU74" s="26" t="n">
        <f aca="false">IF(AB74&gt;0,IF(AS74&gt;=0,AB74-AS74,0),0)</f>
        <v>0</v>
      </c>
    </row>
    <row r="75" customFormat="false" ht="15" hidden="false" customHeight="false" outlineLevel="0" collapsed="false">
      <c r="A75" s="15" t="n">
        <v>71</v>
      </c>
      <c r="B75" s="27"/>
      <c r="C75" s="17"/>
      <c r="D75" s="17"/>
      <c r="E75" s="17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R75" s="21" t="n">
        <f aca="false">IF(SUM(F75:P75)&gt;0,ROUND(AVERAGE(F75:P75),4),0)</f>
        <v>0</v>
      </c>
      <c r="T75" s="22" t="n">
        <v>0</v>
      </c>
      <c r="U75" s="39"/>
      <c r="V75" s="29"/>
      <c r="W75" s="39"/>
      <c r="X75" s="26" t="n">
        <f aca="false">IF(T75&gt;0,T75,R75)*V75</f>
        <v>0</v>
      </c>
      <c r="Z75" s="27"/>
      <c r="AA75" s="17"/>
      <c r="AB75" s="26" t="n">
        <f aca="false">IF(Z75="",0,IF(AA75="",SUMIF($B$5:$B$220,"="&amp;Z75,$X$5:$X$220),SUMIFS($X$5:$X$220, $B$5:$B$220, "="&amp;Z75, $C$5:$C$220,"="&amp;AA75)))</f>
        <v>0</v>
      </c>
      <c r="AD75" s="29"/>
      <c r="AF75" s="17"/>
      <c r="AG75" s="26" t="n">
        <f aca="false">IF(AF75="",0,SUMIF($AD$5:$AD$220,"="&amp;AF75,$X$5:$X$220))</f>
        <v>0</v>
      </c>
      <c r="AI75" s="20"/>
      <c r="AJ75" s="26" t="n">
        <f aca="false">AI75*V75</f>
        <v>0</v>
      </c>
      <c r="AK75" s="30" t="n">
        <f aca="false">IF(X75&gt;0,IF(AJ75&gt;=0,AJ75-X75,0),0)</f>
        <v>0</v>
      </c>
      <c r="AM75" s="17" t="n">
        <f aca="false">AF75</f>
        <v>0</v>
      </c>
      <c r="AN75" s="26" t="str">
        <f aca="false">IF(AM75="","",SUMIF($AD$5:$AD$220,"="&amp;AM75,$AJ$5:$AJ$220))</f>
        <v/>
      </c>
      <c r="AO75" s="26" t="e">
        <f aca="false">IF(AG75&gt;=0,IF(AN75&gt;=0,AG75-AN75,0),0)</f>
        <v>#VALUE!</v>
      </c>
      <c r="AQ75" s="27" t="n">
        <f aca="false">Z75</f>
        <v>0</v>
      </c>
      <c r="AR75" s="17" t="n">
        <f aca="false">AA75</f>
        <v>0</v>
      </c>
      <c r="AS75" s="26" t="str">
        <f aca="false">IF(AQ75="","",IF(AR75="",SUMIF($B$5:$B$220,"="&amp;AQ75,$AJ$5:$AJ$220),SUMIFS($AJ$5:$AJ$220, $B$5:$B$220, "="&amp;AQ75, $C$5:$C$220,"="&amp;AR75)))</f>
        <v/>
      </c>
      <c r="AT75" s="31" t="str">
        <f aca="false">IF(AU75&gt;0,"anular",IF(AU75&lt;0,"reforçar","nenhuma"))</f>
        <v>nenhuma</v>
      </c>
      <c r="AU75" s="26" t="n">
        <f aca="false">IF(AB75&gt;0,IF(AS75&gt;=0,AB75-AS75,0),0)</f>
        <v>0</v>
      </c>
    </row>
    <row r="76" customFormat="false" ht="15" hidden="false" customHeight="false" outlineLevel="0" collapsed="false">
      <c r="A76" s="15" t="n">
        <v>72</v>
      </c>
      <c r="B76" s="27"/>
      <c r="C76" s="17"/>
      <c r="D76" s="17"/>
      <c r="E76" s="17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R76" s="21" t="n">
        <f aca="false">IF(SUM(F76:P76)&gt;0,ROUND(AVERAGE(F76:P76),4),0)</f>
        <v>0</v>
      </c>
      <c r="T76" s="22" t="n">
        <v>0</v>
      </c>
      <c r="U76" s="39"/>
      <c r="V76" s="29"/>
      <c r="W76" s="39"/>
      <c r="X76" s="26" t="n">
        <f aca="false">IF(T76&gt;0,T76,R76)*V76</f>
        <v>0</v>
      </c>
      <c r="Z76" s="27"/>
      <c r="AA76" s="17"/>
      <c r="AB76" s="26" t="n">
        <f aca="false">IF(Z76="",0,IF(AA76="",SUMIF($B$5:$B$220,"="&amp;Z76,$X$5:$X$220),SUMIFS($X$5:$X$220, $B$5:$B$220, "="&amp;Z76, $C$5:$C$220,"="&amp;AA76)))</f>
        <v>0</v>
      </c>
      <c r="AD76" s="29"/>
      <c r="AF76" s="17"/>
      <c r="AG76" s="26" t="n">
        <f aca="false">IF(AF76="",0,SUMIF($AD$5:$AD$220,"="&amp;AF76,$X$5:$X$220))</f>
        <v>0</v>
      </c>
      <c r="AI76" s="20"/>
      <c r="AJ76" s="26" t="n">
        <f aca="false">AI76*V76</f>
        <v>0</v>
      </c>
      <c r="AK76" s="30" t="n">
        <f aca="false">IF(X76&gt;0,IF(AJ76&gt;=0,AJ76-X76,0),0)</f>
        <v>0</v>
      </c>
      <c r="AM76" s="17" t="n">
        <f aca="false">AF76</f>
        <v>0</v>
      </c>
      <c r="AN76" s="26" t="str">
        <f aca="false">IF(AM76="","",SUMIF($AD$5:$AD$220,"="&amp;AM76,$AJ$5:$AJ$220))</f>
        <v/>
      </c>
      <c r="AO76" s="26" t="e">
        <f aca="false">IF(AG76&gt;=0,IF(AN76&gt;=0,AG76-AN76,0),0)</f>
        <v>#VALUE!</v>
      </c>
      <c r="AQ76" s="27" t="n">
        <f aca="false">Z76</f>
        <v>0</v>
      </c>
      <c r="AR76" s="17" t="n">
        <f aca="false">AA76</f>
        <v>0</v>
      </c>
      <c r="AS76" s="26" t="str">
        <f aca="false">IF(AQ76="","",IF(AR76="",SUMIF($B$5:$B$220,"="&amp;AQ76,$AJ$5:$AJ$220),SUMIFS($AJ$5:$AJ$220, $B$5:$B$220, "="&amp;AQ76, $C$5:$C$220,"="&amp;AR76)))</f>
        <v/>
      </c>
      <c r="AT76" s="31" t="str">
        <f aca="false">IF(AU76&gt;0,"anular",IF(AU76&lt;0,"reforçar","nenhuma"))</f>
        <v>nenhuma</v>
      </c>
      <c r="AU76" s="26" t="n">
        <f aca="false">IF(AB76&gt;0,IF(AS76&gt;=0,AB76-AS76,0),0)</f>
        <v>0</v>
      </c>
    </row>
    <row r="77" customFormat="false" ht="15" hidden="false" customHeight="false" outlineLevel="0" collapsed="false">
      <c r="A77" s="15" t="n">
        <v>73</v>
      </c>
      <c r="B77" s="27"/>
      <c r="C77" s="17"/>
      <c r="D77" s="17"/>
      <c r="E77" s="17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R77" s="21" t="n">
        <f aca="false">IF(SUM(F77:P77)&gt;0,ROUND(AVERAGE(F77:P77),4),0)</f>
        <v>0</v>
      </c>
      <c r="T77" s="22" t="n">
        <v>0</v>
      </c>
      <c r="U77" s="39"/>
      <c r="V77" s="29"/>
      <c r="W77" s="39"/>
      <c r="X77" s="26" t="n">
        <f aca="false">IF(T77&gt;0,T77,R77)*V77</f>
        <v>0</v>
      </c>
      <c r="Z77" s="27"/>
      <c r="AA77" s="17"/>
      <c r="AB77" s="26" t="n">
        <f aca="false">IF(Z77="",0,IF(AA77="",SUMIF($B$5:$B$220,"="&amp;Z77,$X$5:$X$220),SUMIFS($X$5:$X$220, $B$5:$B$220, "="&amp;Z77, $C$5:$C$220,"="&amp;AA77)))</f>
        <v>0</v>
      </c>
      <c r="AD77" s="29"/>
      <c r="AF77" s="17"/>
      <c r="AG77" s="26" t="n">
        <f aca="false">IF(AF77="",0,SUMIF($AD$5:$AD$220,"="&amp;AF77,$X$5:$X$220))</f>
        <v>0</v>
      </c>
      <c r="AI77" s="20"/>
      <c r="AJ77" s="26" t="n">
        <f aca="false">AI77*V77</f>
        <v>0</v>
      </c>
      <c r="AK77" s="30" t="n">
        <f aca="false">IF(X77&gt;0,IF(AJ77&gt;=0,AJ77-X77,0),0)</f>
        <v>0</v>
      </c>
      <c r="AM77" s="17" t="n">
        <f aca="false">AF77</f>
        <v>0</v>
      </c>
      <c r="AN77" s="26" t="str">
        <f aca="false">IF(AM77="","",SUMIF($AD$5:$AD$220,"="&amp;AM77,$AJ$5:$AJ$220))</f>
        <v/>
      </c>
      <c r="AO77" s="26" t="e">
        <f aca="false">IF(AG77&gt;=0,IF(AN77&gt;=0,AG77-AN77,0),0)</f>
        <v>#VALUE!</v>
      </c>
      <c r="AQ77" s="27" t="n">
        <f aca="false">Z77</f>
        <v>0</v>
      </c>
      <c r="AR77" s="17" t="n">
        <f aca="false">AA77</f>
        <v>0</v>
      </c>
      <c r="AS77" s="26" t="str">
        <f aca="false">IF(AQ77="","",IF(AR77="",SUMIF($B$5:$B$220,"="&amp;AQ77,$AJ$5:$AJ$220),SUMIFS($AJ$5:$AJ$220, $B$5:$B$220, "="&amp;AQ77, $C$5:$C$220,"="&amp;AR77)))</f>
        <v/>
      </c>
      <c r="AT77" s="31" t="str">
        <f aca="false">IF(AU77&gt;0,"anular",IF(AU77&lt;0,"reforçar","nenhuma"))</f>
        <v>nenhuma</v>
      </c>
      <c r="AU77" s="26" t="n">
        <f aca="false">IF(AB77&gt;0,IF(AS77&gt;=0,AB77-AS77,0),0)</f>
        <v>0</v>
      </c>
    </row>
    <row r="78" customFormat="false" ht="15" hidden="false" customHeight="false" outlineLevel="0" collapsed="false">
      <c r="A78" s="15" t="n">
        <v>74</v>
      </c>
      <c r="B78" s="27"/>
      <c r="C78" s="17"/>
      <c r="D78" s="17"/>
      <c r="E78" s="17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R78" s="21" t="n">
        <f aca="false">IF(SUM(F78:P78)&gt;0,ROUND(AVERAGE(F78:P78),4),0)</f>
        <v>0</v>
      </c>
      <c r="T78" s="22" t="n">
        <v>0</v>
      </c>
      <c r="U78" s="39"/>
      <c r="V78" s="29"/>
      <c r="W78" s="39"/>
      <c r="X78" s="26" t="n">
        <f aca="false">IF(T78&gt;0,T78,R78)*V78</f>
        <v>0</v>
      </c>
      <c r="Z78" s="27"/>
      <c r="AA78" s="17"/>
      <c r="AB78" s="26" t="n">
        <f aca="false">IF(Z78="",0,IF(AA78="",SUMIF($B$5:$B$220,"="&amp;Z78,$X$5:$X$220),SUMIFS($X$5:$X$220, $B$5:$B$220, "="&amp;Z78, $C$5:$C$220,"="&amp;AA78)))</f>
        <v>0</v>
      </c>
      <c r="AD78" s="29"/>
      <c r="AF78" s="17"/>
      <c r="AG78" s="26" t="n">
        <f aca="false">IF(AF78="",0,SUMIF($AD$5:$AD$220,"="&amp;AF78,$X$5:$X$220))</f>
        <v>0</v>
      </c>
      <c r="AI78" s="20"/>
      <c r="AJ78" s="26" t="n">
        <f aca="false">AI78*V78</f>
        <v>0</v>
      </c>
      <c r="AK78" s="30" t="n">
        <f aca="false">IF(X78&gt;0,IF(AJ78&gt;=0,AJ78-X78,0),0)</f>
        <v>0</v>
      </c>
      <c r="AM78" s="17" t="n">
        <f aca="false">AF78</f>
        <v>0</v>
      </c>
      <c r="AN78" s="26" t="str">
        <f aca="false">IF(AM78="","",SUMIF($AD$5:$AD$220,"="&amp;AM78,$AJ$5:$AJ$220))</f>
        <v/>
      </c>
      <c r="AO78" s="26" t="e">
        <f aca="false">IF(AG78&gt;=0,IF(AN78&gt;=0,AG78-AN78,0),0)</f>
        <v>#VALUE!</v>
      </c>
      <c r="AQ78" s="27" t="n">
        <f aca="false">Z78</f>
        <v>0</v>
      </c>
      <c r="AR78" s="17" t="n">
        <f aca="false">AA78</f>
        <v>0</v>
      </c>
      <c r="AS78" s="26" t="str">
        <f aca="false">IF(AQ78="","",IF(AR78="",SUMIF($B$5:$B$220,"="&amp;AQ78,$AJ$5:$AJ$220),SUMIFS($AJ$5:$AJ$220, $B$5:$B$220, "="&amp;AQ78, $C$5:$C$220,"="&amp;AR78)))</f>
        <v/>
      </c>
      <c r="AT78" s="31" t="str">
        <f aca="false">IF(AU78&gt;0,"anular",IF(AU78&lt;0,"reforçar","nenhuma"))</f>
        <v>nenhuma</v>
      </c>
      <c r="AU78" s="26" t="n">
        <f aca="false">IF(AB78&gt;0,IF(AS78&gt;=0,AB78-AS78,0),0)</f>
        <v>0</v>
      </c>
    </row>
    <row r="79" customFormat="false" ht="15" hidden="false" customHeight="false" outlineLevel="0" collapsed="false">
      <c r="A79" s="15" t="n">
        <v>75</v>
      </c>
      <c r="B79" s="27"/>
      <c r="C79" s="17"/>
      <c r="D79" s="17"/>
      <c r="E79" s="17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R79" s="21" t="n">
        <f aca="false">IF(SUM(F79:P79)&gt;0,ROUND(AVERAGE(F79:P79),4),0)</f>
        <v>0</v>
      </c>
      <c r="T79" s="22" t="n">
        <v>0</v>
      </c>
      <c r="U79" s="39"/>
      <c r="V79" s="29"/>
      <c r="W79" s="39"/>
      <c r="X79" s="26" t="n">
        <f aca="false">IF(T79&gt;0,T79,R79)*V79</f>
        <v>0</v>
      </c>
      <c r="Z79" s="27"/>
      <c r="AA79" s="17"/>
      <c r="AB79" s="26" t="n">
        <f aca="false">IF(Z79="",0,IF(AA79="",SUMIF($B$5:$B$220,"="&amp;Z79,$X$5:$X$220),SUMIFS($X$5:$X$220, $B$5:$B$220, "="&amp;Z79, $C$5:$C$220,"="&amp;AA79)))</f>
        <v>0</v>
      </c>
      <c r="AD79" s="29"/>
      <c r="AF79" s="17"/>
      <c r="AG79" s="26" t="n">
        <f aca="false">IF(AF79="",0,SUMIF($AD$5:$AD$220,"="&amp;AF79,$X$5:$X$220))</f>
        <v>0</v>
      </c>
      <c r="AI79" s="20"/>
      <c r="AJ79" s="26" t="n">
        <f aca="false">AI79*V79</f>
        <v>0</v>
      </c>
      <c r="AK79" s="30" t="n">
        <f aca="false">IF(X79&gt;0,IF(AJ79&gt;=0,AJ79-X79,0),0)</f>
        <v>0</v>
      </c>
      <c r="AM79" s="17" t="n">
        <f aca="false">AF79</f>
        <v>0</v>
      </c>
      <c r="AN79" s="26" t="str">
        <f aca="false">IF(AM79="","",SUMIF($AD$5:$AD$220,"="&amp;AM79,$AJ$5:$AJ$220))</f>
        <v/>
      </c>
      <c r="AO79" s="26" t="e">
        <f aca="false">IF(AG79&gt;=0,IF(AN79&gt;=0,AG79-AN79,0),0)</f>
        <v>#VALUE!</v>
      </c>
      <c r="AQ79" s="27" t="n">
        <f aca="false">Z79</f>
        <v>0</v>
      </c>
      <c r="AR79" s="17" t="n">
        <f aca="false">AA79</f>
        <v>0</v>
      </c>
      <c r="AS79" s="26" t="str">
        <f aca="false">IF(AQ79="","",IF(AR79="",SUMIF($B$5:$B$220,"="&amp;AQ79,$AJ$5:$AJ$220),SUMIFS($AJ$5:$AJ$220, $B$5:$B$220, "="&amp;AQ79, $C$5:$C$220,"="&amp;AR79)))</f>
        <v/>
      </c>
      <c r="AT79" s="31" t="str">
        <f aca="false">IF(AU79&gt;0,"anular",IF(AU79&lt;0,"reforçar","nenhuma"))</f>
        <v>nenhuma</v>
      </c>
      <c r="AU79" s="26" t="n">
        <f aca="false">IF(AB79&gt;0,IF(AS79&gt;=0,AB79-AS79,0),0)</f>
        <v>0</v>
      </c>
    </row>
    <row r="80" customFormat="false" ht="15" hidden="false" customHeight="false" outlineLevel="0" collapsed="false">
      <c r="A80" s="15" t="n">
        <v>76</v>
      </c>
      <c r="B80" s="27"/>
      <c r="C80" s="17"/>
      <c r="D80" s="17"/>
      <c r="E80" s="17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R80" s="21" t="n">
        <f aca="false">IF(SUM(F80:P80)&gt;0,ROUND(AVERAGE(F80:P80),4),0)</f>
        <v>0</v>
      </c>
      <c r="T80" s="22" t="n">
        <v>0</v>
      </c>
      <c r="U80" s="39"/>
      <c r="V80" s="29"/>
      <c r="W80" s="39"/>
      <c r="X80" s="26" t="n">
        <f aca="false">IF(T80&gt;0,T80,R80)*V80</f>
        <v>0</v>
      </c>
      <c r="Z80" s="27"/>
      <c r="AA80" s="17"/>
      <c r="AB80" s="26" t="n">
        <f aca="false">IF(Z80="",0,IF(AA80="",SUMIF($B$5:$B$220,"="&amp;Z80,$X$5:$X$220),SUMIFS($X$5:$X$220, $B$5:$B$220, "="&amp;Z80, $C$5:$C$220,"="&amp;AA80)))</f>
        <v>0</v>
      </c>
      <c r="AD80" s="29"/>
      <c r="AF80" s="17"/>
      <c r="AG80" s="26" t="n">
        <f aca="false">IF(AF80="",0,SUMIF($AD$5:$AD$220,"="&amp;AF80,$X$5:$X$220))</f>
        <v>0</v>
      </c>
      <c r="AI80" s="20"/>
      <c r="AJ80" s="26" t="n">
        <f aca="false">AI80*V80</f>
        <v>0</v>
      </c>
      <c r="AK80" s="30" t="n">
        <f aca="false">IF(X80&gt;0,IF(AJ80&gt;=0,AJ80-X80,0),0)</f>
        <v>0</v>
      </c>
      <c r="AM80" s="17" t="n">
        <f aca="false">AF80</f>
        <v>0</v>
      </c>
      <c r="AN80" s="26" t="str">
        <f aca="false">IF(AM80="","",SUMIF($AD$5:$AD$220,"="&amp;AM80,$AJ$5:$AJ$220))</f>
        <v/>
      </c>
      <c r="AO80" s="26" t="e">
        <f aca="false">IF(AG80&gt;=0,IF(AN80&gt;=0,AG80-AN80,0),0)</f>
        <v>#VALUE!</v>
      </c>
      <c r="AQ80" s="27" t="n">
        <f aca="false">Z80</f>
        <v>0</v>
      </c>
      <c r="AR80" s="17" t="n">
        <f aca="false">AA80</f>
        <v>0</v>
      </c>
      <c r="AS80" s="26" t="str">
        <f aca="false">IF(AQ80="","",IF(AR80="",SUMIF($B$5:$B$220,"="&amp;AQ80,$AJ$5:$AJ$220),SUMIFS($AJ$5:$AJ$220, $B$5:$B$220, "="&amp;AQ80, $C$5:$C$220,"="&amp;AR80)))</f>
        <v/>
      </c>
      <c r="AT80" s="31" t="str">
        <f aca="false">IF(AU80&gt;0,"anular",IF(AU80&lt;0,"reforçar","nenhuma"))</f>
        <v>nenhuma</v>
      </c>
      <c r="AU80" s="26" t="n">
        <f aca="false">IF(AB80&gt;0,IF(AS80&gt;=0,AB80-AS80,0),0)</f>
        <v>0</v>
      </c>
    </row>
    <row r="81" customFormat="false" ht="15" hidden="false" customHeight="false" outlineLevel="0" collapsed="false">
      <c r="A81" s="15" t="n">
        <v>77</v>
      </c>
      <c r="B81" s="27"/>
      <c r="C81" s="17"/>
      <c r="D81" s="17"/>
      <c r="E81" s="17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R81" s="21" t="n">
        <f aca="false">IF(SUM(F81:P81)&gt;0,ROUND(AVERAGE(F81:P81),4),0)</f>
        <v>0</v>
      </c>
      <c r="T81" s="22" t="n">
        <v>0</v>
      </c>
      <c r="U81" s="39"/>
      <c r="V81" s="29"/>
      <c r="W81" s="39"/>
      <c r="X81" s="26" t="n">
        <f aca="false">IF(T81&gt;0,T81,R81)*V81</f>
        <v>0</v>
      </c>
      <c r="Z81" s="27"/>
      <c r="AA81" s="17"/>
      <c r="AB81" s="26" t="n">
        <f aca="false">IF(Z81="",0,IF(AA81="",SUMIF($B$5:$B$220,"="&amp;Z81,$X$5:$X$220),SUMIFS($X$5:$X$220, $B$5:$B$220, "="&amp;Z81, $C$5:$C$220,"="&amp;AA81)))</f>
        <v>0</v>
      </c>
      <c r="AD81" s="29"/>
      <c r="AF81" s="17"/>
      <c r="AG81" s="26" t="n">
        <f aca="false">IF(AF81="",0,SUMIF($AD$5:$AD$220,"="&amp;AF81,$X$5:$X$220))</f>
        <v>0</v>
      </c>
      <c r="AI81" s="20"/>
      <c r="AJ81" s="26" t="n">
        <f aca="false">AI81*V81</f>
        <v>0</v>
      </c>
      <c r="AK81" s="30" t="n">
        <f aca="false">IF(X81&gt;0,IF(AJ81&gt;=0,AJ81-X81,0),0)</f>
        <v>0</v>
      </c>
      <c r="AM81" s="17" t="n">
        <f aca="false">AF81</f>
        <v>0</v>
      </c>
      <c r="AN81" s="26" t="str">
        <f aca="false">IF(AM81="","",SUMIF($AD$5:$AD$220,"="&amp;AM81,$AJ$5:$AJ$220))</f>
        <v/>
      </c>
      <c r="AO81" s="26" t="e">
        <f aca="false">IF(AG81&gt;=0,IF(AN81&gt;=0,AG81-AN81,0),0)</f>
        <v>#VALUE!</v>
      </c>
      <c r="AQ81" s="27" t="n">
        <f aca="false">Z81</f>
        <v>0</v>
      </c>
      <c r="AR81" s="17" t="n">
        <f aca="false">AA81</f>
        <v>0</v>
      </c>
      <c r="AS81" s="26" t="str">
        <f aca="false">IF(AQ81="","",IF(AR81="",SUMIF($B$5:$B$220,"="&amp;AQ81,$AJ$5:$AJ$220),SUMIFS($AJ$5:$AJ$220, $B$5:$B$220, "="&amp;AQ81, $C$5:$C$220,"="&amp;AR81)))</f>
        <v/>
      </c>
      <c r="AT81" s="31" t="str">
        <f aca="false">IF(AU81&gt;0,"anular",IF(AU81&lt;0,"reforçar","nenhuma"))</f>
        <v>nenhuma</v>
      </c>
      <c r="AU81" s="26" t="n">
        <f aca="false">IF(AB81&gt;0,IF(AS81&gt;=0,AB81-AS81,0),0)</f>
        <v>0</v>
      </c>
    </row>
    <row r="82" customFormat="false" ht="15" hidden="false" customHeight="false" outlineLevel="0" collapsed="false">
      <c r="A82" s="15" t="n">
        <v>78</v>
      </c>
      <c r="B82" s="27"/>
      <c r="C82" s="17"/>
      <c r="D82" s="17"/>
      <c r="E82" s="17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R82" s="21" t="n">
        <f aca="false">IF(SUM(F82:P82)&gt;0,ROUND(AVERAGE(F82:P82),4),0)</f>
        <v>0</v>
      </c>
      <c r="T82" s="22" t="n">
        <v>0</v>
      </c>
      <c r="U82" s="39"/>
      <c r="V82" s="29"/>
      <c r="W82" s="39"/>
      <c r="X82" s="26" t="n">
        <f aca="false">IF(T82&gt;0,T82,R82)*V82</f>
        <v>0</v>
      </c>
      <c r="Z82" s="27"/>
      <c r="AA82" s="17"/>
      <c r="AB82" s="26" t="n">
        <f aca="false">IF(Z82="",0,IF(AA82="",SUMIF($B$5:$B$220,"="&amp;Z82,$X$5:$X$220),SUMIFS($X$5:$X$220, $B$5:$B$220, "="&amp;Z82, $C$5:$C$220,"="&amp;AA82)))</f>
        <v>0</v>
      </c>
      <c r="AD82" s="29"/>
      <c r="AF82" s="17"/>
      <c r="AG82" s="26" t="n">
        <f aca="false">IF(AF82="",0,SUMIF($AD$5:$AD$220,"="&amp;AF82,$X$5:$X$220))</f>
        <v>0</v>
      </c>
      <c r="AI82" s="20"/>
      <c r="AJ82" s="26" t="n">
        <f aca="false">AI82*V82</f>
        <v>0</v>
      </c>
      <c r="AK82" s="30" t="n">
        <f aca="false">IF(X82&gt;0,IF(AJ82&gt;=0,AJ82-X82,0),0)</f>
        <v>0</v>
      </c>
      <c r="AM82" s="17" t="n">
        <f aca="false">AF82</f>
        <v>0</v>
      </c>
      <c r="AN82" s="26" t="str">
        <f aca="false">IF(AM82="","",SUMIF($AD$5:$AD$220,"="&amp;AM82,$AJ$5:$AJ$220))</f>
        <v/>
      </c>
      <c r="AO82" s="26" t="e">
        <f aca="false">IF(AG82&gt;=0,IF(AN82&gt;=0,AG82-AN82,0),0)</f>
        <v>#VALUE!</v>
      </c>
      <c r="AQ82" s="27" t="n">
        <f aca="false">Z82</f>
        <v>0</v>
      </c>
      <c r="AR82" s="17" t="n">
        <f aca="false">AA82</f>
        <v>0</v>
      </c>
      <c r="AS82" s="26" t="str">
        <f aca="false">IF(AQ82="","",IF(AR82="",SUMIF($B$5:$B$220,"="&amp;AQ82,$AJ$5:$AJ$220),SUMIFS($AJ$5:$AJ$220, $B$5:$B$220, "="&amp;AQ82, $C$5:$C$220,"="&amp;AR82)))</f>
        <v/>
      </c>
      <c r="AT82" s="31" t="str">
        <f aca="false">IF(AU82&gt;0,"anular",IF(AU82&lt;0,"reforçar","nenhuma"))</f>
        <v>nenhuma</v>
      </c>
      <c r="AU82" s="26" t="n">
        <f aca="false">IF(AB82&gt;0,IF(AS82&gt;=0,AB82-AS82,0),0)</f>
        <v>0</v>
      </c>
    </row>
    <row r="83" customFormat="false" ht="15" hidden="false" customHeight="false" outlineLevel="0" collapsed="false">
      <c r="A83" s="15" t="n">
        <v>79</v>
      </c>
      <c r="B83" s="27"/>
      <c r="C83" s="17"/>
      <c r="D83" s="17"/>
      <c r="E83" s="17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R83" s="21" t="n">
        <f aca="false">IF(SUM(F83:P83)&gt;0,ROUND(AVERAGE(F83:P83),4),0)</f>
        <v>0</v>
      </c>
      <c r="T83" s="22" t="n">
        <v>0</v>
      </c>
      <c r="U83" s="39"/>
      <c r="V83" s="29"/>
      <c r="W83" s="39"/>
      <c r="X83" s="26" t="n">
        <f aca="false">IF(T83&gt;0,T83,R83)*V83</f>
        <v>0</v>
      </c>
      <c r="Z83" s="27"/>
      <c r="AA83" s="17"/>
      <c r="AB83" s="26" t="n">
        <f aca="false">IF(Z83="",0,IF(AA83="",SUMIF($B$5:$B$220,"="&amp;Z83,$X$5:$X$220),SUMIFS($X$5:$X$220, $B$5:$B$220, "="&amp;Z83, $C$5:$C$220,"="&amp;AA83)))</f>
        <v>0</v>
      </c>
      <c r="AD83" s="29"/>
      <c r="AF83" s="17"/>
      <c r="AG83" s="26" t="n">
        <f aca="false">IF(AF83="",0,SUMIF($AD$5:$AD$220,"="&amp;AF83,$X$5:$X$220))</f>
        <v>0</v>
      </c>
      <c r="AI83" s="20"/>
      <c r="AJ83" s="26" t="n">
        <f aca="false">AI83*V83</f>
        <v>0</v>
      </c>
      <c r="AK83" s="30" t="n">
        <f aca="false">IF(X83&gt;0,IF(AJ83&gt;=0,AJ83-X83,0),0)</f>
        <v>0</v>
      </c>
      <c r="AM83" s="17" t="n">
        <f aca="false">AF83</f>
        <v>0</v>
      </c>
      <c r="AN83" s="26" t="str">
        <f aca="false">IF(AM83="","",SUMIF($AD$5:$AD$220,"="&amp;AM83,$AJ$5:$AJ$220))</f>
        <v/>
      </c>
      <c r="AO83" s="26" t="e">
        <f aca="false">IF(AG83&gt;=0,IF(AN83&gt;=0,AG83-AN83,0),0)</f>
        <v>#VALUE!</v>
      </c>
      <c r="AQ83" s="27" t="n">
        <f aca="false">Z83</f>
        <v>0</v>
      </c>
      <c r="AR83" s="17" t="n">
        <f aca="false">AA83</f>
        <v>0</v>
      </c>
      <c r="AS83" s="26" t="str">
        <f aca="false">IF(AQ83="","",IF(AR83="",SUMIF($B$5:$B$220,"="&amp;AQ83,$AJ$5:$AJ$220),SUMIFS($AJ$5:$AJ$220, $B$5:$B$220, "="&amp;AQ83, $C$5:$C$220,"="&amp;AR83)))</f>
        <v/>
      </c>
      <c r="AT83" s="31" t="str">
        <f aca="false">IF(AU83&gt;0,"anular",IF(AU83&lt;0,"reforçar","nenhuma"))</f>
        <v>nenhuma</v>
      </c>
      <c r="AU83" s="26" t="n">
        <f aca="false">IF(AB83&gt;0,IF(AS83&gt;=0,AB83-AS83,0),0)</f>
        <v>0</v>
      </c>
    </row>
    <row r="84" customFormat="false" ht="15" hidden="false" customHeight="false" outlineLevel="0" collapsed="false">
      <c r="A84" s="15" t="n">
        <v>80</v>
      </c>
      <c r="B84" s="27"/>
      <c r="C84" s="17"/>
      <c r="D84" s="17"/>
      <c r="E84" s="17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R84" s="21" t="n">
        <f aca="false">IF(SUM(F84:P84)&gt;0,ROUND(AVERAGE(F84:P84),4),0)</f>
        <v>0</v>
      </c>
      <c r="T84" s="22" t="n">
        <v>0</v>
      </c>
      <c r="U84" s="39"/>
      <c r="V84" s="29"/>
      <c r="W84" s="39"/>
      <c r="X84" s="26" t="n">
        <f aca="false">IF(T84&gt;0,T84,R84)*V84</f>
        <v>0</v>
      </c>
      <c r="Z84" s="27"/>
      <c r="AA84" s="17"/>
      <c r="AB84" s="26" t="n">
        <f aca="false">IF(Z84="",0,IF(AA84="",SUMIF($B$5:$B$220,"="&amp;Z84,$X$5:$X$220),SUMIFS($X$5:$X$220, $B$5:$B$220, "="&amp;Z84, $C$5:$C$220,"="&amp;AA84)))</f>
        <v>0</v>
      </c>
      <c r="AD84" s="29"/>
      <c r="AF84" s="17"/>
      <c r="AG84" s="26" t="n">
        <f aca="false">IF(AF84="",0,SUMIF($AD$5:$AD$220,"="&amp;AF84,$X$5:$X$220))</f>
        <v>0</v>
      </c>
      <c r="AI84" s="20"/>
      <c r="AJ84" s="26" t="n">
        <f aca="false">AI84*V84</f>
        <v>0</v>
      </c>
      <c r="AK84" s="30" t="n">
        <f aca="false">IF(X84&gt;0,IF(AJ84&gt;=0,AJ84-X84,0),0)</f>
        <v>0</v>
      </c>
      <c r="AM84" s="17" t="n">
        <f aca="false">AF84</f>
        <v>0</v>
      </c>
      <c r="AN84" s="26" t="str">
        <f aca="false">IF(AM84="","",SUMIF($AD$5:$AD$220,"="&amp;AM84,$AJ$5:$AJ$220))</f>
        <v/>
      </c>
      <c r="AO84" s="26" t="e">
        <f aca="false">IF(AG84&gt;=0,IF(AN84&gt;=0,AG84-AN84,0),0)</f>
        <v>#VALUE!</v>
      </c>
      <c r="AQ84" s="27" t="n">
        <f aca="false">Z84</f>
        <v>0</v>
      </c>
      <c r="AR84" s="17" t="n">
        <f aca="false">AA84</f>
        <v>0</v>
      </c>
      <c r="AS84" s="26" t="str">
        <f aca="false">IF(AQ84="","",IF(AR84="",SUMIF($B$5:$B$220,"="&amp;AQ84,$AJ$5:$AJ$220),SUMIFS($AJ$5:$AJ$220, $B$5:$B$220, "="&amp;AQ84, $C$5:$C$220,"="&amp;AR84)))</f>
        <v/>
      </c>
      <c r="AT84" s="31" t="str">
        <f aca="false">IF(AU84&gt;0,"anular",IF(AU84&lt;0,"reforçar","nenhuma"))</f>
        <v>nenhuma</v>
      </c>
      <c r="AU84" s="26" t="n">
        <f aca="false">IF(AB84&gt;0,IF(AS84&gt;=0,AB84-AS84,0),0)</f>
        <v>0</v>
      </c>
    </row>
    <row r="85" customFormat="false" ht="15" hidden="false" customHeight="false" outlineLevel="0" collapsed="false">
      <c r="A85" s="15" t="n">
        <v>81</v>
      </c>
      <c r="B85" s="27"/>
      <c r="C85" s="17"/>
      <c r="D85" s="17"/>
      <c r="E85" s="17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R85" s="21" t="n">
        <f aca="false">IF(SUM(F85:P85)&gt;0,ROUND(AVERAGE(F85:P85),4),0)</f>
        <v>0</v>
      </c>
      <c r="T85" s="22" t="n">
        <v>0</v>
      </c>
      <c r="U85" s="39"/>
      <c r="V85" s="29"/>
      <c r="W85" s="39"/>
      <c r="X85" s="26" t="n">
        <f aca="false">IF(T85&gt;0,T85,R85)*V85</f>
        <v>0</v>
      </c>
      <c r="Z85" s="27"/>
      <c r="AA85" s="17"/>
      <c r="AB85" s="26" t="n">
        <f aca="false">IF(Z85="",0,IF(AA85="",SUMIF($B$5:$B$220,"="&amp;Z85,$X$5:$X$220),SUMIFS($X$5:$X$220, $B$5:$B$220, "="&amp;Z85, $C$5:$C$220,"="&amp;AA85)))</f>
        <v>0</v>
      </c>
      <c r="AD85" s="29"/>
      <c r="AF85" s="17"/>
      <c r="AG85" s="26" t="n">
        <f aca="false">IF(AF85="",0,SUMIF($AD$5:$AD$220,"="&amp;AF85,$X$5:$X$220))</f>
        <v>0</v>
      </c>
      <c r="AI85" s="20"/>
      <c r="AJ85" s="26" t="n">
        <f aca="false">AI85*V85</f>
        <v>0</v>
      </c>
      <c r="AK85" s="30" t="n">
        <f aca="false">IF(X85&gt;0,IF(AJ85&gt;=0,AJ85-X85,0),0)</f>
        <v>0</v>
      </c>
      <c r="AM85" s="17" t="n">
        <f aca="false">AF85</f>
        <v>0</v>
      </c>
      <c r="AN85" s="26" t="str">
        <f aca="false">IF(AM85="","",SUMIF($AD$5:$AD$220,"="&amp;AM85,$AJ$5:$AJ$220))</f>
        <v/>
      </c>
      <c r="AO85" s="26" t="e">
        <f aca="false">IF(AG85&gt;=0,IF(AN85&gt;=0,AG85-AN85,0),0)</f>
        <v>#VALUE!</v>
      </c>
      <c r="AQ85" s="27" t="n">
        <f aca="false">Z85</f>
        <v>0</v>
      </c>
      <c r="AR85" s="17" t="n">
        <f aca="false">AA85</f>
        <v>0</v>
      </c>
      <c r="AS85" s="26" t="str">
        <f aca="false">IF(AQ85="","",IF(AR85="",SUMIF($B$5:$B$220,"="&amp;AQ85,$AJ$5:$AJ$220),SUMIFS($AJ$5:$AJ$220, $B$5:$B$220, "="&amp;AQ85, $C$5:$C$220,"="&amp;AR85)))</f>
        <v/>
      </c>
      <c r="AT85" s="31" t="str">
        <f aca="false">IF(AU85&gt;0,"anular",IF(AU85&lt;0,"reforçar","nenhuma"))</f>
        <v>nenhuma</v>
      </c>
      <c r="AU85" s="26" t="n">
        <f aca="false">IF(AB85&gt;0,IF(AS85&gt;=0,AB85-AS85,0),0)</f>
        <v>0</v>
      </c>
    </row>
    <row r="86" customFormat="false" ht="15" hidden="false" customHeight="false" outlineLevel="0" collapsed="false">
      <c r="A86" s="15" t="n">
        <v>82</v>
      </c>
      <c r="B86" s="27"/>
      <c r="C86" s="17"/>
      <c r="D86" s="17"/>
      <c r="E86" s="17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R86" s="21" t="n">
        <f aca="false">IF(SUM(F86:P86)&gt;0,ROUND(AVERAGE(F86:P86),4),0)</f>
        <v>0</v>
      </c>
      <c r="T86" s="22" t="n">
        <v>0</v>
      </c>
      <c r="U86" s="39"/>
      <c r="V86" s="29"/>
      <c r="W86" s="39"/>
      <c r="X86" s="26" t="n">
        <f aca="false">IF(T86&gt;0,T86,R86)*V86</f>
        <v>0</v>
      </c>
      <c r="Z86" s="27"/>
      <c r="AA86" s="17"/>
      <c r="AB86" s="26" t="n">
        <f aca="false">IF(Z86="",0,IF(AA86="",SUMIF($B$5:$B$220,"="&amp;Z86,$X$5:$X$220),SUMIFS($X$5:$X$220, $B$5:$B$220, "="&amp;Z86, $C$5:$C$220,"="&amp;AA86)))</f>
        <v>0</v>
      </c>
      <c r="AD86" s="29"/>
      <c r="AF86" s="17"/>
      <c r="AG86" s="26" t="n">
        <f aca="false">IF(AF86="",0,SUMIF($AD$5:$AD$220,"="&amp;AF86,$X$5:$X$220))</f>
        <v>0</v>
      </c>
      <c r="AI86" s="20"/>
      <c r="AJ86" s="26" t="n">
        <f aca="false">AI86*V86</f>
        <v>0</v>
      </c>
      <c r="AK86" s="30" t="n">
        <f aca="false">IF(X86&gt;0,IF(AJ86&gt;=0,AJ86-X86,0),0)</f>
        <v>0</v>
      </c>
      <c r="AM86" s="17" t="n">
        <f aca="false">AF86</f>
        <v>0</v>
      </c>
      <c r="AN86" s="26" t="str">
        <f aca="false">IF(AM86="","",SUMIF($AD$5:$AD$220,"="&amp;AM86,$AJ$5:$AJ$220))</f>
        <v/>
      </c>
      <c r="AO86" s="26" t="e">
        <f aca="false">IF(AG86&gt;=0,IF(AN86&gt;=0,AG86-AN86,0),0)</f>
        <v>#VALUE!</v>
      </c>
      <c r="AQ86" s="27" t="n">
        <f aca="false">Z86</f>
        <v>0</v>
      </c>
      <c r="AR86" s="17" t="n">
        <f aca="false">AA86</f>
        <v>0</v>
      </c>
      <c r="AS86" s="26" t="str">
        <f aca="false">IF(AQ86="","",IF(AR86="",SUMIF($B$5:$B$220,"="&amp;AQ86,$AJ$5:$AJ$220),SUMIFS($AJ$5:$AJ$220, $B$5:$B$220, "="&amp;AQ86, $C$5:$C$220,"="&amp;AR86)))</f>
        <v/>
      </c>
      <c r="AT86" s="31" t="str">
        <f aca="false">IF(AU86&gt;0,"anular",IF(AU86&lt;0,"reforçar","nenhuma"))</f>
        <v>nenhuma</v>
      </c>
      <c r="AU86" s="26" t="n">
        <f aca="false">IF(AB86&gt;0,IF(AS86&gt;=0,AB86-AS86,0),0)</f>
        <v>0</v>
      </c>
    </row>
    <row r="87" customFormat="false" ht="15" hidden="false" customHeight="false" outlineLevel="0" collapsed="false">
      <c r="A87" s="15" t="n">
        <v>83</v>
      </c>
      <c r="B87" s="27"/>
      <c r="C87" s="17"/>
      <c r="D87" s="17"/>
      <c r="E87" s="17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R87" s="21" t="n">
        <f aca="false">IF(SUM(F87:P87)&gt;0,ROUND(AVERAGE(F87:P87),4),0)</f>
        <v>0</v>
      </c>
      <c r="T87" s="22" t="n">
        <v>0</v>
      </c>
      <c r="U87" s="39"/>
      <c r="V87" s="29"/>
      <c r="W87" s="39"/>
      <c r="X87" s="26" t="n">
        <f aca="false">IF(T87&gt;0,T87,R87)*V87</f>
        <v>0</v>
      </c>
      <c r="Z87" s="27"/>
      <c r="AA87" s="17"/>
      <c r="AB87" s="26" t="n">
        <f aca="false">IF(Z87="",0,IF(AA87="",SUMIF($B$5:$B$220,"="&amp;Z87,$X$5:$X$220),SUMIFS($X$5:$X$220, $B$5:$B$220, "="&amp;Z87, $C$5:$C$220,"="&amp;AA87)))</f>
        <v>0</v>
      </c>
      <c r="AD87" s="29"/>
      <c r="AF87" s="17"/>
      <c r="AG87" s="26" t="n">
        <f aca="false">IF(AF87="",0,SUMIF($AD$5:$AD$220,"="&amp;AF87,$X$5:$X$220))</f>
        <v>0</v>
      </c>
      <c r="AI87" s="20"/>
      <c r="AJ87" s="26" t="n">
        <f aca="false">AI87*V87</f>
        <v>0</v>
      </c>
      <c r="AK87" s="30" t="n">
        <f aca="false">IF(X87&gt;0,IF(AJ87&gt;=0,AJ87-X87,0),0)</f>
        <v>0</v>
      </c>
      <c r="AM87" s="17" t="n">
        <f aca="false">AF87</f>
        <v>0</v>
      </c>
      <c r="AN87" s="26" t="str">
        <f aca="false">IF(AM87="","",SUMIF($AD$5:$AD$220,"="&amp;AM87,$AJ$5:$AJ$220))</f>
        <v/>
      </c>
      <c r="AO87" s="26" t="e">
        <f aca="false">IF(AG87&gt;=0,IF(AN87&gt;=0,AG87-AN87,0),0)</f>
        <v>#VALUE!</v>
      </c>
      <c r="AQ87" s="27" t="n">
        <f aca="false">Z87</f>
        <v>0</v>
      </c>
      <c r="AR87" s="17" t="n">
        <f aca="false">AA87</f>
        <v>0</v>
      </c>
      <c r="AS87" s="26" t="str">
        <f aca="false">IF(AQ87="","",IF(AR87="",SUMIF($B$5:$B$220,"="&amp;AQ87,$AJ$5:$AJ$220),SUMIFS($AJ$5:$AJ$220, $B$5:$B$220, "="&amp;AQ87, $C$5:$C$220,"="&amp;AR87)))</f>
        <v/>
      </c>
      <c r="AT87" s="31" t="str">
        <f aca="false">IF(AU87&gt;0,"anular",IF(AU87&lt;0,"reforçar","nenhuma"))</f>
        <v>nenhuma</v>
      </c>
      <c r="AU87" s="26" t="n">
        <f aca="false">IF(AB87&gt;0,IF(AS87&gt;=0,AB87-AS87,0),0)</f>
        <v>0</v>
      </c>
    </row>
    <row r="88" customFormat="false" ht="15" hidden="false" customHeight="false" outlineLevel="0" collapsed="false">
      <c r="A88" s="15" t="n">
        <v>84</v>
      </c>
      <c r="B88" s="17"/>
      <c r="C88" s="17"/>
      <c r="D88" s="17"/>
      <c r="E88" s="17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R88" s="21" t="n">
        <f aca="false">IF(SUM(F88:P88)&gt;0,ROUND(AVERAGE(F88:P88),4),0)</f>
        <v>0</v>
      </c>
      <c r="T88" s="22" t="n">
        <v>0</v>
      </c>
      <c r="U88" s="39"/>
      <c r="V88" s="29"/>
      <c r="W88" s="39"/>
      <c r="X88" s="26" t="n">
        <f aca="false">IF(T88&gt;0,T88,R88)*V88</f>
        <v>0</v>
      </c>
      <c r="Z88" s="27"/>
      <c r="AA88" s="17"/>
      <c r="AB88" s="26" t="n">
        <f aca="false">IF(Z88="",0,IF(AA88="",SUMIF($B$5:$B$220,"="&amp;Z88,$X$5:$X$220),SUMIFS($X$5:$X$220, $B$5:$B$220, "="&amp;Z88, $C$5:$C$220,"="&amp;AA88)))</f>
        <v>0</v>
      </c>
      <c r="AD88" s="29"/>
      <c r="AF88" s="17"/>
      <c r="AG88" s="26" t="n">
        <f aca="false">IF(AF88="",0,SUMIF($AD$5:$AD$220,"="&amp;AF88,$X$5:$X$220))</f>
        <v>0</v>
      </c>
      <c r="AI88" s="20"/>
      <c r="AJ88" s="26" t="n">
        <f aca="false">AI88*V88</f>
        <v>0</v>
      </c>
      <c r="AK88" s="30" t="n">
        <f aca="false">IF(X88&gt;0,IF(AJ88&gt;=0,AJ88-X88,0),0)</f>
        <v>0</v>
      </c>
      <c r="AM88" s="17" t="n">
        <f aca="false">AF88</f>
        <v>0</v>
      </c>
      <c r="AN88" s="26" t="str">
        <f aca="false">IF(AM88="","",SUMIF($AD$5:$AD$220,"="&amp;AM88,$AJ$5:$AJ$220))</f>
        <v/>
      </c>
      <c r="AO88" s="26" t="e">
        <f aca="false">IF(AG88&gt;=0,IF(AN88&gt;=0,AG88-AN88,0),0)</f>
        <v>#VALUE!</v>
      </c>
      <c r="AQ88" s="27" t="n">
        <f aca="false">Z88</f>
        <v>0</v>
      </c>
      <c r="AR88" s="17" t="n">
        <f aca="false">AA88</f>
        <v>0</v>
      </c>
      <c r="AS88" s="26" t="str">
        <f aca="false">IF(AQ88="","",IF(AR88="",SUMIF($B$5:$B$220,"="&amp;AQ88,$AJ$5:$AJ$220),SUMIFS($AJ$5:$AJ$220, $B$5:$B$220, "="&amp;AQ88, $C$5:$C$220,"="&amp;AR88)))</f>
        <v/>
      </c>
      <c r="AT88" s="31" t="str">
        <f aca="false">IF(AU88&gt;0,"anular",IF(AU88&lt;0,"reforçar","nenhuma"))</f>
        <v>nenhuma</v>
      </c>
      <c r="AU88" s="26" t="n">
        <f aca="false">IF(AB88&gt;0,IF(AS88&gt;=0,AB88-AS88,0),0)</f>
        <v>0</v>
      </c>
    </row>
    <row r="89" customFormat="false" ht="15" hidden="false" customHeight="false" outlineLevel="0" collapsed="false">
      <c r="A89" s="15" t="n">
        <v>85</v>
      </c>
      <c r="B89" s="17"/>
      <c r="C89" s="17"/>
      <c r="D89" s="17"/>
      <c r="E89" s="17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R89" s="21" t="n">
        <f aca="false">IF(SUM(F89:P89)&gt;0,ROUND(AVERAGE(F89:P89),4),0)</f>
        <v>0</v>
      </c>
      <c r="T89" s="22" t="n">
        <v>0</v>
      </c>
      <c r="U89" s="39"/>
      <c r="V89" s="29"/>
      <c r="W89" s="39"/>
      <c r="X89" s="26" t="n">
        <f aca="false">IF(T89&gt;0,T89,R89)*V89</f>
        <v>0</v>
      </c>
      <c r="Z89" s="27"/>
      <c r="AA89" s="17"/>
      <c r="AB89" s="26" t="n">
        <f aca="false">IF(Z89="",0,IF(AA89="",SUMIF($B$5:$B$220,"="&amp;Z89,$X$5:$X$220),SUMIFS($X$5:$X$220, $B$5:$B$220, "="&amp;Z89, $C$5:$C$220,"="&amp;AA89)))</f>
        <v>0</v>
      </c>
      <c r="AD89" s="29"/>
      <c r="AF89" s="17"/>
      <c r="AG89" s="26" t="n">
        <f aca="false">IF(AF89="",0,SUMIF($AD$5:$AD$220,"="&amp;AF89,$X$5:$X$220))</f>
        <v>0</v>
      </c>
      <c r="AI89" s="20"/>
      <c r="AJ89" s="26" t="n">
        <f aca="false">AI89*V89</f>
        <v>0</v>
      </c>
      <c r="AK89" s="30" t="n">
        <f aca="false">IF(X89&gt;0,IF(AJ89&gt;=0,AJ89-X89,0),0)</f>
        <v>0</v>
      </c>
      <c r="AM89" s="17" t="n">
        <f aca="false">AF89</f>
        <v>0</v>
      </c>
      <c r="AN89" s="26" t="str">
        <f aca="false">IF(AM89="","",SUMIF($AD$5:$AD$220,"="&amp;AM89,$AJ$5:$AJ$220))</f>
        <v/>
      </c>
      <c r="AO89" s="26" t="e">
        <f aca="false">IF(AG89&gt;=0,IF(AN89&gt;=0,AG89-AN89,0),0)</f>
        <v>#VALUE!</v>
      </c>
      <c r="AQ89" s="27" t="n">
        <f aca="false">Z89</f>
        <v>0</v>
      </c>
      <c r="AR89" s="17" t="n">
        <f aca="false">AA89</f>
        <v>0</v>
      </c>
      <c r="AS89" s="26" t="str">
        <f aca="false">IF(AQ89="","",IF(AR89="",SUMIF($B$5:$B$220,"="&amp;AQ89,$AJ$5:$AJ$220),SUMIFS($AJ$5:$AJ$220, $B$5:$B$220, "="&amp;AQ89, $C$5:$C$220,"="&amp;AR89)))</f>
        <v/>
      </c>
      <c r="AT89" s="31" t="str">
        <f aca="false">IF(AU89&gt;0,"anular",IF(AU89&lt;0,"reforçar","nenhuma"))</f>
        <v>nenhuma</v>
      </c>
      <c r="AU89" s="26" t="n">
        <f aca="false">IF(AB89&gt;0,IF(AS89&gt;=0,AB89-AS89,0),0)</f>
        <v>0</v>
      </c>
    </row>
    <row r="90" customFormat="false" ht="15" hidden="false" customHeight="false" outlineLevel="0" collapsed="false">
      <c r="A90" s="15" t="n">
        <v>86</v>
      </c>
      <c r="B90" s="17"/>
      <c r="C90" s="17"/>
      <c r="D90" s="17"/>
      <c r="E90" s="17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R90" s="21" t="n">
        <f aca="false">IF(SUM(F90:P90)&gt;0,ROUND(AVERAGE(F90:P90),4),0)</f>
        <v>0</v>
      </c>
      <c r="T90" s="22" t="n">
        <v>0</v>
      </c>
      <c r="U90" s="39"/>
      <c r="V90" s="29"/>
      <c r="W90" s="39"/>
      <c r="X90" s="26" t="n">
        <f aca="false">IF(T90&gt;0,T90,R90)*V90</f>
        <v>0</v>
      </c>
      <c r="Z90" s="27"/>
      <c r="AA90" s="17"/>
      <c r="AB90" s="26" t="n">
        <f aca="false">IF(Z90="",0,IF(AA90="",SUMIF($B$5:$B$220,"="&amp;Z90,$X$5:$X$220),SUMIFS($X$5:$X$220, $B$5:$B$220, "="&amp;Z90, $C$5:$C$220,"="&amp;AA90)))</f>
        <v>0</v>
      </c>
      <c r="AD90" s="29"/>
      <c r="AF90" s="17"/>
      <c r="AG90" s="26" t="n">
        <f aca="false">IF(AF90="",0,SUMIF($AD$5:$AD$220,"="&amp;AF90,$X$5:$X$220))</f>
        <v>0</v>
      </c>
      <c r="AI90" s="20"/>
      <c r="AJ90" s="26" t="n">
        <f aca="false">AI90*V90</f>
        <v>0</v>
      </c>
      <c r="AK90" s="30" t="n">
        <f aca="false">IF(X90&gt;0,IF(AJ90&gt;=0,AJ90-X90,0),0)</f>
        <v>0</v>
      </c>
      <c r="AM90" s="17" t="n">
        <f aca="false">AF90</f>
        <v>0</v>
      </c>
      <c r="AN90" s="26" t="str">
        <f aca="false">IF(AM90="","",SUMIF($AD$5:$AD$220,"="&amp;AM90,$AJ$5:$AJ$220))</f>
        <v/>
      </c>
      <c r="AO90" s="26" t="e">
        <f aca="false">IF(AG90&gt;=0,IF(AN90&gt;=0,AG90-AN90,0),0)</f>
        <v>#VALUE!</v>
      </c>
      <c r="AQ90" s="27" t="n">
        <f aca="false">Z90</f>
        <v>0</v>
      </c>
      <c r="AR90" s="17" t="n">
        <f aca="false">AA90</f>
        <v>0</v>
      </c>
      <c r="AS90" s="26" t="str">
        <f aca="false">IF(AQ90="","",IF(AR90="",SUMIF($B$5:$B$220,"="&amp;AQ90,$AJ$5:$AJ$220),SUMIFS($AJ$5:$AJ$220, $B$5:$B$220, "="&amp;AQ90, $C$5:$C$220,"="&amp;AR90)))</f>
        <v/>
      </c>
      <c r="AT90" s="31" t="str">
        <f aca="false">IF(AU90&gt;0,"anular",IF(AU90&lt;0,"reforçar","nenhuma"))</f>
        <v>nenhuma</v>
      </c>
      <c r="AU90" s="26" t="n">
        <f aca="false">IF(AB90&gt;0,IF(AS90&gt;=0,AB90-AS90,0),0)</f>
        <v>0</v>
      </c>
    </row>
    <row r="91" customFormat="false" ht="15" hidden="false" customHeight="false" outlineLevel="0" collapsed="false">
      <c r="A91" s="15" t="n">
        <v>87</v>
      </c>
      <c r="B91" s="17"/>
      <c r="C91" s="17"/>
      <c r="D91" s="17"/>
      <c r="E91" s="17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R91" s="21" t="n">
        <f aca="false">IF(SUM(F91:P91)&gt;0,ROUND(AVERAGE(F91:P91),4),0)</f>
        <v>0</v>
      </c>
      <c r="T91" s="22" t="n">
        <v>0</v>
      </c>
      <c r="U91" s="39"/>
      <c r="V91" s="29"/>
      <c r="W91" s="39"/>
      <c r="X91" s="26" t="n">
        <f aca="false">IF(T91&gt;0,T91,R91)*V91</f>
        <v>0</v>
      </c>
      <c r="Z91" s="27"/>
      <c r="AA91" s="17"/>
      <c r="AB91" s="26" t="n">
        <f aca="false">IF(Z91="",0,IF(AA91="",SUMIF($B$5:$B$220,"="&amp;Z91,$X$5:$X$220),SUMIFS($X$5:$X$220, $B$5:$B$220, "="&amp;Z91, $C$5:$C$220,"="&amp;AA91)))</f>
        <v>0</v>
      </c>
      <c r="AD91" s="29"/>
      <c r="AF91" s="17"/>
      <c r="AG91" s="26" t="n">
        <f aca="false">IF(AF91="",0,SUMIF($AD$5:$AD$220,"="&amp;AF91,$X$5:$X$220))</f>
        <v>0</v>
      </c>
      <c r="AI91" s="20"/>
      <c r="AJ91" s="26" t="n">
        <f aca="false">AI91*V91</f>
        <v>0</v>
      </c>
      <c r="AK91" s="30" t="n">
        <f aca="false">IF(X91&gt;0,IF(AJ91&gt;=0,AJ91-X91,0),0)</f>
        <v>0</v>
      </c>
      <c r="AM91" s="17" t="n">
        <f aca="false">AF91</f>
        <v>0</v>
      </c>
      <c r="AN91" s="26" t="str">
        <f aca="false">IF(AM91="","",SUMIF($AD$5:$AD$220,"="&amp;AM91,$AJ$5:$AJ$220))</f>
        <v/>
      </c>
      <c r="AO91" s="26" t="e">
        <f aca="false">IF(AG91&gt;=0,IF(AN91&gt;=0,AG91-AN91,0),0)</f>
        <v>#VALUE!</v>
      </c>
      <c r="AQ91" s="27" t="n">
        <f aca="false">Z91</f>
        <v>0</v>
      </c>
      <c r="AR91" s="17" t="n">
        <f aca="false">AA91</f>
        <v>0</v>
      </c>
      <c r="AS91" s="26" t="str">
        <f aca="false">IF(AQ91="","",IF(AR91="",SUMIF($B$5:$B$220,"="&amp;AQ91,$AJ$5:$AJ$220),SUMIFS($AJ$5:$AJ$220, $B$5:$B$220, "="&amp;AQ91, $C$5:$C$220,"="&amp;AR91)))</f>
        <v/>
      </c>
      <c r="AT91" s="31" t="str">
        <f aca="false">IF(AU91&gt;0,"anular",IF(AU91&lt;0,"reforçar","nenhuma"))</f>
        <v>nenhuma</v>
      </c>
      <c r="AU91" s="26" t="n">
        <f aca="false">IF(AB91&gt;0,IF(AS91&gt;=0,AB91-AS91,0),0)</f>
        <v>0</v>
      </c>
    </row>
    <row r="92" customFormat="false" ht="15" hidden="false" customHeight="false" outlineLevel="0" collapsed="false">
      <c r="A92" s="15" t="n">
        <v>88</v>
      </c>
      <c r="B92" s="17"/>
      <c r="C92" s="17"/>
      <c r="D92" s="17"/>
      <c r="E92" s="17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R92" s="21" t="n">
        <f aca="false">IF(SUM(F92:P92)&gt;0,ROUND(AVERAGE(F92:P92),4),0)</f>
        <v>0</v>
      </c>
      <c r="T92" s="22" t="n">
        <v>0</v>
      </c>
      <c r="U92" s="39"/>
      <c r="V92" s="29"/>
      <c r="W92" s="39"/>
      <c r="X92" s="26" t="n">
        <f aca="false">IF(T92&gt;0,T92,R92)*V92</f>
        <v>0</v>
      </c>
      <c r="Z92" s="27"/>
      <c r="AA92" s="17"/>
      <c r="AB92" s="26" t="n">
        <f aca="false">IF(Z92="",0,IF(AA92="",SUMIF($B$5:$B$220,"="&amp;Z92,$X$5:$X$220),SUMIFS($X$5:$X$220, $B$5:$B$220, "="&amp;Z92, $C$5:$C$220,"="&amp;AA92)))</f>
        <v>0</v>
      </c>
      <c r="AD92" s="29"/>
      <c r="AF92" s="17"/>
      <c r="AG92" s="26" t="n">
        <f aca="false">IF(AF92="",0,SUMIF($AD$5:$AD$220,"="&amp;AF92,$X$5:$X$220))</f>
        <v>0</v>
      </c>
      <c r="AI92" s="20"/>
      <c r="AJ92" s="26" t="n">
        <f aca="false">AI92*V92</f>
        <v>0</v>
      </c>
      <c r="AK92" s="30" t="n">
        <f aca="false">IF(X92&gt;0,IF(AJ92&gt;=0,AJ92-X92,0),0)</f>
        <v>0</v>
      </c>
      <c r="AM92" s="17" t="n">
        <f aca="false">AF92</f>
        <v>0</v>
      </c>
      <c r="AN92" s="26" t="str">
        <f aca="false">IF(AM92="","",SUMIF($AD$5:$AD$220,"="&amp;AM92,$AJ$5:$AJ$220))</f>
        <v/>
      </c>
      <c r="AO92" s="26" t="e">
        <f aca="false">IF(AG92&gt;=0,IF(AN92&gt;=0,AG92-AN92,0),0)</f>
        <v>#VALUE!</v>
      </c>
      <c r="AQ92" s="27" t="n">
        <f aca="false">Z92</f>
        <v>0</v>
      </c>
      <c r="AR92" s="17" t="n">
        <f aca="false">AA92</f>
        <v>0</v>
      </c>
      <c r="AS92" s="26" t="str">
        <f aca="false">IF(AQ92="","",IF(AR92="",SUMIF($B$5:$B$220,"="&amp;AQ92,$AJ$5:$AJ$220),SUMIFS($AJ$5:$AJ$220, $B$5:$B$220, "="&amp;AQ92, $C$5:$C$220,"="&amp;AR92)))</f>
        <v/>
      </c>
      <c r="AT92" s="31" t="str">
        <f aca="false">IF(AU92&gt;0,"anular",IF(AU92&lt;0,"reforçar","nenhuma"))</f>
        <v>nenhuma</v>
      </c>
      <c r="AU92" s="26" t="n">
        <f aca="false">IF(AB92&gt;0,IF(AS92&gt;=0,AB92-AS92,0),0)</f>
        <v>0</v>
      </c>
    </row>
    <row r="93" customFormat="false" ht="15" hidden="false" customHeight="false" outlineLevel="0" collapsed="false">
      <c r="A93" s="15" t="n">
        <v>89</v>
      </c>
      <c r="B93" s="17"/>
      <c r="C93" s="17"/>
      <c r="D93" s="17"/>
      <c r="E93" s="17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R93" s="21" t="n">
        <f aca="false">IF(SUM(F93:P93)&gt;0,ROUND(AVERAGE(F93:P93),4),0)</f>
        <v>0</v>
      </c>
      <c r="T93" s="22" t="n">
        <v>0</v>
      </c>
      <c r="U93" s="39"/>
      <c r="V93" s="29"/>
      <c r="W93" s="39"/>
      <c r="X93" s="26" t="n">
        <f aca="false">IF(T93&gt;0,T93,R93)*V93</f>
        <v>0</v>
      </c>
      <c r="Z93" s="27"/>
      <c r="AA93" s="17"/>
      <c r="AB93" s="26" t="n">
        <f aca="false">IF(Z93="",0,IF(AA93="",SUMIF($B$5:$B$220,"="&amp;Z93,$X$5:$X$220),SUMIFS($X$5:$X$220, $B$5:$B$220, "="&amp;Z93, $C$5:$C$220,"="&amp;AA93)))</f>
        <v>0</v>
      </c>
      <c r="AD93" s="29"/>
      <c r="AF93" s="17"/>
      <c r="AG93" s="26" t="n">
        <f aca="false">IF(AF93="",0,SUMIF($AD$5:$AD$220,"="&amp;AF93,$X$5:$X$220))</f>
        <v>0</v>
      </c>
      <c r="AI93" s="20"/>
      <c r="AJ93" s="26" t="n">
        <f aca="false">AI93*V93</f>
        <v>0</v>
      </c>
      <c r="AK93" s="30" t="n">
        <f aca="false">IF(X93&gt;0,IF(AJ93&gt;=0,AJ93-X93,0),0)</f>
        <v>0</v>
      </c>
      <c r="AM93" s="17" t="n">
        <f aca="false">AF93</f>
        <v>0</v>
      </c>
      <c r="AN93" s="26" t="str">
        <f aca="false">IF(AM93="","",SUMIF($AD$5:$AD$220,"="&amp;AM93,$AJ$5:$AJ$220))</f>
        <v/>
      </c>
      <c r="AO93" s="26" t="e">
        <f aca="false">IF(AG93&gt;=0,IF(AN93&gt;=0,AG93-AN93,0),0)</f>
        <v>#VALUE!</v>
      </c>
      <c r="AQ93" s="27" t="n">
        <f aca="false">Z93</f>
        <v>0</v>
      </c>
      <c r="AR93" s="17" t="n">
        <f aca="false">AA93</f>
        <v>0</v>
      </c>
      <c r="AS93" s="26" t="str">
        <f aca="false">IF(AQ93="","",IF(AR93="",SUMIF($B$5:$B$220,"="&amp;AQ93,$AJ$5:$AJ$220),SUMIFS($AJ$5:$AJ$220, $B$5:$B$220, "="&amp;AQ93, $C$5:$C$220,"="&amp;AR93)))</f>
        <v/>
      </c>
      <c r="AT93" s="31" t="str">
        <f aca="false">IF(AU93&gt;0,"anular",IF(AU93&lt;0,"reforçar","nenhuma"))</f>
        <v>nenhuma</v>
      </c>
      <c r="AU93" s="26" t="n">
        <f aca="false">IF(AB93&gt;0,IF(AS93&gt;=0,AB93-AS93,0),0)</f>
        <v>0</v>
      </c>
    </row>
    <row r="94" customFormat="false" ht="15" hidden="false" customHeight="false" outlineLevel="0" collapsed="false">
      <c r="A94" s="15" t="n">
        <v>90</v>
      </c>
      <c r="B94" s="17"/>
      <c r="C94" s="17"/>
      <c r="D94" s="17"/>
      <c r="E94" s="17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R94" s="21" t="n">
        <f aca="false">IF(SUM(F94:P94)&gt;0,ROUND(AVERAGE(F94:P94),4),0)</f>
        <v>0</v>
      </c>
      <c r="T94" s="22" t="n">
        <v>0</v>
      </c>
      <c r="U94" s="39"/>
      <c r="V94" s="29"/>
      <c r="W94" s="39"/>
      <c r="X94" s="26" t="n">
        <f aca="false">IF(T94&gt;0,T94,R94)*V94</f>
        <v>0</v>
      </c>
      <c r="Z94" s="27"/>
      <c r="AA94" s="17"/>
      <c r="AB94" s="26" t="n">
        <f aca="false">IF(Z94="",0,IF(AA94="",SUMIF($B$5:$B$220,"="&amp;Z94,$X$5:$X$220),SUMIFS($X$5:$X$220, $B$5:$B$220, "="&amp;Z94, $C$5:$C$220,"="&amp;AA94)))</f>
        <v>0</v>
      </c>
      <c r="AD94" s="29"/>
      <c r="AF94" s="17"/>
      <c r="AG94" s="26" t="n">
        <f aca="false">IF(AF94="",0,SUMIF($AD$5:$AD$220,"="&amp;AF94,$X$5:$X$220))</f>
        <v>0</v>
      </c>
      <c r="AI94" s="20"/>
      <c r="AJ94" s="26" t="n">
        <f aca="false">AI94*V94</f>
        <v>0</v>
      </c>
      <c r="AK94" s="30" t="n">
        <f aca="false">IF(X94&gt;0,IF(AJ94&gt;=0,AJ94-X94,0),0)</f>
        <v>0</v>
      </c>
      <c r="AM94" s="17" t="n">
        <f aca="false">AF94</f>
        <v>0</v>
      </c>
      <c r="AN94" s="26" t="str">
        <f aca="false">IF(AM94="","",SUMIF($AD$5:$AD$220,"="&amp;AM94,$AJ$5:$AJ$220))</f>
        <v/>
      </c>
      <c r="AO94" s="26" t="e">
        <f aca="false">IF(AG94&gt;=0,IF(AN94&gt;=0,AG94-AN94,0),0)</f>
        <v>#VALUE!</v>
      </c>
      <c r="AQ94" s="27" t="n">
        <f aca="false">Z94</f>
        <v>0</v>
      </c>
      <c r="AR94" s="17" t="n">
        <f aca="false">AA94</f>
        <v>0</v>
      </c>
      <c r="AS94" s="26" t="str">
        <f aca="false">IF(AQ94="","",IF(AR94="",SUMIF($B$5:$B$220,"="&amp;AQ94,$AJ$5:$AJ$220),SUMIFS($AJ$5:$AJ$220, $B$5:$B$220, "="&amp;AQ94, $C$5:$C$220,"="&amp;AR94)))</f>
        <v/>
      </c>
      <c r="AT94" s="31" t="str">
        <f aca="false">IF(AU94&gt;0,"anular",IF(AU94&lt;0,"reforçar","nenhuma"))</f>
        <v>nenhuma</v>
      </c>
      <c r="AU94" s="26" t="n">
        <f aca="false">IF(AB94&gt;0,IF(AS94&gt;=0,AB94-AS94,0),0)</f>
        <v>0</v>
      </c>
    </row>
    <row r="95" customFormat="false" ht="15" hidden="false" customHeight="false" outlineLevel="0" collapsed="false">
      <c r="A95" s="15" t="n">
        <v>91</v>
      </c>
      <c r="B95" s="17"/>
      <c r="C95" s="17"/>
      <c r="D95" s="17"/>
      <c r="E95" s="17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R95" s="21" t="n">
        <f aca="false">IF(SUM(F95:P95)&gt;0,ROUND(AVERAGE(F95:P95),4),0)</f>
        <v>0</v>
      </c>
      <c r="T95" s="22" t="n">
        <v>0</v>
      </c>
      <c r="U95" s="39"/>
      <c r="V95" s="29"/>
      <c r="W95" s="39"/>
      <c r="X95" s="26" t="n">
        <f aca="false">IF(T95&gt;0,T95,R95)*V95</f>
        <v>0</v>
      </c>
      <c r="Z95" s="27"/>
      <c r="AA95" s="17"/>
      <c r="AB95" s="26" t="n">
        <f aca="false">IF(Z95="",0,IF(AA95="",SUMIF($B$5:$B$220,"="&amp;Z95,$X$5:$X$220),SUMIFS($X$5:$X$220, $B$5:$B$220, "="&amp;Z95, $C$5:$C$220,"="&amp;AA95)))</f>
        <v>0</v>
      </c>
      <c r="AD95" s="29"/>
      <c r="AF95" s="17"/>
      <c r="AG95" s="26" t="n">
        <f aca="false">IF(AF95="",0,SUMIF($AD$5:$AD$220,"="&amp;AF95,$X$5:$X$220))</f>
        <v>0</v>
      </c>
      <c r="AI95" s="20"/>
      <c r="AJ95" s="26" t="n">
        <f aca="false">AI95*V95</f>
        <v>0</v>
      </c>
      <c r="AK95" s="30" t="n">
        <f aca="false">IF(X95&gt;0,IF(AJ95&gt;=0,AJ95-X95,0),0)</f>
        <v>0</v>
      </c>
      <c r="AM95" s="17" t="n">
        <f aca="false">AF95</f>
        <v>0</v>
      </c>
      <c r="AN95" s="26" t="str">
        <f aca="false">IF(AM95="","",SUMIF($AD$5:$AD$220,"="&amp;AM95,$AJ$5:$AJ$220))</f>
        <v/>
      </c>
      <c r="AO95" s="26" t="e">
        <f aca="false">IF(AG95&gt;=0,IF(AN95&gt;=0,AG95-AN95,0),0)</f>
        <v>#VALUE!</v>
      </c>
      <c r="AQ95" s="27" t="n">
        <f aca="false">Z95</f>
        <v>0</v>
      </c>
      <c r="AR95" s="17" t="n">
        <f aca="false">AA95</f>
        <v>0</v>
      </c>
      <c r="AS95" s="26" t="str">
        <f aca="false">IF(AQ95="","",IF(AR95="",SUMIF($B$5:$B$220,"="&amp;AQ95,$AJ$5:$AJ$220),SUMIFS($AJ$5:$AJ$220, $B$5:$B$220, "="&amp;AQ95, $C$5:$C$220,"="&amp;AR95)))</f>
        <v/>
      </c>
      <c r="AT95" s="31" t="str">
        <f aca="false">IF(AU95&gt;0,"anular",IF(AU95&lt;0,"reforçar","nenhuma"))</f>
        <v>nenhuma</v>
      </c>
      <c r="AU95" s="26" t="n">
        <f aca="false">IF(AB95&gt;0,IF(AS95&gt;=0,AB95-AS95,0),0)</f>
        <v>0</v>
      </c>
    </row>
    <row r="96" customFormat="false" ht="15" hidden="false" customHeight="false" outlineLevel="0" collapsed="false">
      <c r="A96" s="15" t="n">
        <v>92</v>
      </c>
      <c r="B96" s="17"/>
      <c r="C96" s="17"/>
      <c r="D96" s="17"/>
      <c r="E96" s="17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R96" s="21" t="n">
        <f aca="false">IF(SUM(F96:P96)&gt;0,ROUND(AVERAGE(F96:P96),4),0)</f>
        <v>0</v>
      </c>
      <c r="T96" s="22" t="n">
        <v>0</v>
      </c>
      <c r="U96" s="39"/>
      <c r="V96" s="29"/>
      <c r="W96" s="39"/>
      <c r="X96" s="26" t="n">
        <f aca="false">IF(T96&gt;0,T96,R96)*V96</f>
        <v>0</v>
      </c>
      <c r="Z96" s="27"/>
      <c r="AA96" s="17"/>
      <c r="AB96" s="26" t="n">
        <f aca="false">IF(Z96="",0,IF(AA96="",SUMIF($B$5:$B$220,"="&amp;Z96,$X$5:$X$220),SUMIFS($X$5:$X$220, $B$5:$B$220, "="&amp;Z96, $C$5:$C$220,"="&amp;AA96)))</f>
        <v>0</v>
      </c>
      <c r="AD96" s="29"/>
      <c r="AF96" s="17"/>
      <c r="AG96" s="26" t="n">
        <f aca="false">IF(AF96="",0,SUMIF($AD$5:$AD$220,"="&amp;AF96,$X$5:$X$220))</f>
        <v>0</v>
      </c>
      <c r="AI96" s="20"/>
      <c r="AJ96" s="26" t="n">
        <f aca="false">AI96*V96</f>
        <v>0</v>
      </c>
      <c r="AK96" s="30" t="n">
        <f aca="false">IF(X96&gt;0,IF(AJ96&gt;=0,AJ96-X96,0),0)</f>
        <v>0</v>
      </c>
      <c r="AM96" s="17" t="n">
        <f aca="false">AF96</f>
        <v>0</v>
      </c>
      <c r="AN96" s="26" t="str">
        <f aca="false">IF(AM96="","",SUMIF($AD$5:$AD$220,"="&amp;AM96,$AJ$5:$AJ$220))</f>
        <v/>
      </c>
      <c r="AO96" s="26" t="e">
        <f aca="false">IF(AG96&gt;=0,IF(AN96&gt;=0,AG96-AN96,0),0)</f>
        <v>#VALUE!</v>
      </c>
      <c r="AQ96" s="27" t="n">
        <f aca="false">Z96</f>
        <v>0</v>
      </c>
      <c r="AR96" s="17" t="n">
        <f aca="false">AA96</f>
        <v>0</v>
      </c>
      <c r="AS96" s="26" t="str">
        <f aca="false">IF(AQ96="","",IF(AR96="",SUMIF($B$5:$B$220,"="&amp;AQ96,$AJ$5:$AJ$220),SUMIFS($AJ$5:$AJ$220, $B$5:$B$220, "="&amp;AQ96, $C$5:$C$220,"="&amp;AR96)))</f>
        <v/>
      </c>
      <c r="AT96" s="31" t="str">
        <f aca="false">IF(AU96&gt;0,"anular",IF(AU96&lt;0,"reforçar","nenhuma"))</f>
        <v>nenhuma</v>
      </c>
      <c r="AU96" s="26" t="n">
        <f aca="false">IF(AB96&gt;0,IF(AS96&gt;=0,AB96-AS96,0),0)</f>
        <v>0</v>
      </c>
    </row>
    <row r="97" customFormat="false" ht="15" hidden="false" customHeight="false" outlineLevel="0" collapsed="false">
      <c r="A97" s="15" t="n">
        <v>93</v>
      </c>
      <c r="B97" s="17"/>
      <c r="C97" s="17"/>
      <c r="D97" s="17"/>
      <c r="E97" s="17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R97" s="21" t="n">
        <f aca="false">IF(SUM(F97:P97)&gt;0,ROUND(AVERAGE(F97:P97),4),0)</f>
        <v>0</v>
      </c>
      <c r="T97" s="22" t="n">
        <v>0</v>
      </c>
      <c r="U97" s="39"/>
      <c r="V97" s="29"/>
      <c r="W97" s="39"/>
      <c r="X97" s="26" t="n">
        <f aca="false">IF(T97&gt;0,T97,R97)*V97</f>
        <v>0</v>
      </c>
      <c r="Z97" s="27"/>
      <c r="AA97" s="17"/>
      <c r="AB97" s="26" t="n">
        <f aca="false">IF(Z97="",0,IF(AA97="",SUMIF($B$5:$B$220,"="&amp;Z97,$X$5:$X$220),SUMIFS($X$5:$X$220, $B$5:$B$220, "="&amp;Z97, $C$5:$C$220,"="&amp;AA97)))</f>
        <v>0</v>
      </c>
      <c r="AD97" s="29"/>
      <c r="AF97" s="17"/>
      <c r="AG97" s="26" t="n">
        <f aca="false">IF(AF97="",0,SUMIF($AD$5:$AD$220,"="&amp;AF97,$X$5:$X$220))</f>
        <v>0</v>
      </c>
      <c r="AI97" s="20"/>
      <c r="AJ97" s="26" t="n">
        <f aca="false">AI97*V97</f>
        <v>0</v>
      </c>
      <c r="AK97" s="30" t="n">
        <f aca="false">IF(X97&gt;0,IF(AJ97&gt;=0,AJ97-X97,0),0)</f>
        <v>0</v>
      </c>
      <c r="AM97" s="17" t="n">
        <f aca="false">AF97</f>
        <v>0</v>
      </c>
      <c r="AN97" s="26" t="str">
        <f aca="false">IF(AM97="","",SUMIF($AD$5:$AD$220,"="&amp;AM97,$AJ$5:$AJ$220))</f>
        <v/>
      </c>
      <c r="AO97" s="26" t="e">
        <f aca="false">IF(AG97&gt;=0,IF(AN97&gt;=0,AG97-AN97,0),0)</f>
        <v>#VALUE!</v>
      </c>
      <c r="AQ97" s="27" t="n">
        <f aca="false">Z97</f>
        <v>0</v>
      </c>
      <c r="AR97" s="17" t="n">
        <f aca="false">AA97</f>
        <v>0</v>
      </c>
      <c r="AS97" s="26" t="str">
        <f aca="false">IF(AQ97="","",IF(AR97="",SUMIF($B$5:$B$220,"="&amp;AQ97,$AJ$5:$AJ$220),SUMIFS($AJ$5:$AJ$220, $B$5:$B$220, "="&amp;AQ97, $C$5:$C$220,"="&amp;AR97)))</f>
        <v/>
      </c>
      <c r="AT97" s="31" t="str">
        <f aca="false">IF(AU97&gt;0,"anular",IF(AU97&lt;0,"reforçar","nenhuma"))</f>
        <v>nenhuma</v>
      </c>
      <c r="AU97" s="26" t="n">
        <f aca="false">IF(AB97&gt;0,IF(AS97&gt;=0,AB97-AS97,0),0)</f>
        <v>0</v>
      </c>
    </row>
    <row r="98" customFormat="false" ht="15" hidden="false" customHeight="false" outlineLevel="0" collapsed="false">
      <c r="A98" s="15" t="n">
        <v>94</v>
      </c>
      <c r="B98" s="17"/>
      <c r="C98" s="17"/>
      <c r="D98" s="17"/>
      <c r="E98" s="17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R98" s="21" t="n">
        <f aca="false">IF(SUM(F98:P98)&gt;0,ROUND(AVERAGE(F98:P98),4),0)</f>
        <v>0</v>
      </c>
      <c r="T98" s="22" t="n">
        <v>0</v>
      </c>
      <c r="U98" s="39"/>
      <c r="V98" s="29"/>
      <c r="W98" s="39"/>
      <c r="X98" s="26" t="n">
        <f aca="false">IF(T98&gt;0,T98,R98)*V98</f>
        <v>0</v>
      </c>
      <c r="Z98" s="27"/>
      <c r="AA98" s="17"/>
      <c r="AB98" s="26" t="n">
        <f aca="false">IF(Z98="",0,IF(AA98="",SUMIF($B$5:$B$220,"="&amp;Z98,$X$5:$X$220),SUMIFS($X$5:$X$220, $B$5:$B$220, "="&amp;Z98, $C$5:$C$220,"="&amp;AA98)))</f>
        <v>0</v>
      </c>
      <c r="AD98" s="29"/>
      <c r="AF98" s="17"/>
      <c r="AG98" s="26" t="n">
        <f aca="false">IF(AF98="",0,SUMIF($AD$5:$AD$220,"="&amp;AF98,$X$5:$X$220))</f>
        <v>0</v>
      </c>
      <c r="AI98" s="20"/>
      <c r="AJ98" s="26" t="n">
        <f aca="false">AI98*V98</f>
        <v>0</v>
      </c>
      <c r="AK98" s="30" t="n">
        <f aca="false">IF(X98&gt;0,IF(AJ98&gt;=0,AJ98-X98,0),0)</f>
        <v>0</v>
      </c>
      <c r="AM98" s="17" t="n">
        <f aca="false">AF98</f>
        <v>0</v>
      </c>
      <c r="AN98" s="26" t="str">
        <f aca="false">IF(AM98="","",SUMIF($AD$5:$AD$220,"="&amp;AM98,$AJ$5:$AJ$220))</f>
        <v/>
      </c>
      <c r="AO98" s="26" t="e">
        <f aca="false">IF(AG98&gt;=0,IF(AN98&gt;=0,AG98-AN98,0),0)</f>
        <v>#VALUE!</v>
      </c>
      <c r="AQ98" s="27" t="n">
        <f aca="false">Z98</f>
        <v>0</v>
      </c>
      <c r="AR98" s="17" t="n">
        <f aca="false">AA98</f>
        <v>0</v>
      </c>
      <c r="AS98" s="26" t="str">
        <f aca="false">IF(AQ98="","",IF(AR98="",SUMIF($B$5:$B$220,"="&amp;AQ98,$AJ$5:$AJ$220),SUMIFS($AJ$5:$AJ$220, $B$5:$B$220, "="&amp;AQ98, $C$5:$C$220,"="&amp;AR98)))</f>
        <v/>
      </c>
      <c r="AT98" s="31" t="str">
        <f aca="false">IF(AU98&gt;0,"anular",IF(AU98&lt;0,"reforçar","nenhuma"))</f>
        <v>nenhuma</v>
      </c>
      <c r="AU98" s="26" t="n">
        <f aca="false">IF(AB98&gt;0,IF(AS98&gt;=0,AB98-AS98,0),0)</f>
        <v>0</v>
      </c>
    </row>
    <row r="99" customFormat="false" ht="15" hidden="false" customHeight="false" outlineLevel="0" collapsed="false">
      <c r="A99" s="15" t="n">
        <v>95</v>
      </c>
      <c r="B99" s="17"/>
      <c r="C99" s="17"/>
      <c r="D99" s="17"/>
      <c r="E99" s="17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R99" s="21" t="n">
        <f aca="false">IF(SUM(F99:P99)&gt;0,ROUND(AVERAGE(F99:P99),4),0)</f>
        <v>0</v>
      </c>
      <c r="T99" s="22" t="n">
        <v>0</v>
      </c>
      <c r="U99" s="39"/>
      <c r="V99" s="29"/>
      <c r="W99" s="39"/>
      <c r="X99" s="26" t="n">
        <f aca="false">IF(T99&gt;0,T99,R99)*V99</f>
        <v>0</v>
      </c>
      <c r="Z99" s="27"/>
      <c r="AA99" s="17"/>
      <c r="AB99" s="26" t="n">
        <f aca="false">IF(Z99="",0,IF(AA99="",SUMIF($B$5:$B$220,"="&amp;Z99,$X$5:$X$220),SUMIFS($X$5:$X$220, $B$5:$B$220, "="&amp;Z99, $C$5:$C$220,"="&amp;AA99)))</f>
        <v>0</v>
      </c>
      <c r="AD99" s="29"/>
      <c r="AF99" s="17"/>
      <c r="AG99" s="26" t="n">
        <f aca="false">IF(AF99="",0,SUMIF($AD$5:$AD$220,"="&amp;AF99,$X$5:$X$220))</f>
        <v>0</v>
      </c>
      <c r="AI99" s="20"/>
      <c r="AJ99" s="26" t="n">
        <f aca="false">AI99*V99</f>
        <v>0</v>
      </c>
      <c r="AK99" s="30" t="n">
        <f aca="false">IF(X99&gt;0,IF(AJ99&gt;=0,AJ99-X99,0),0)</f>
        <v>0</v>
      </c>
      <c r="AM99" s="17" t="n">
        <f aca="false">AF99</f>
        <v>0</v>
      </c>
      <c r="AN99" s="26" t="str">
        <f aca="false">IF(AM99="","",SUMIF($AD$5:$AD$220,"="&amp;AM99,$AJ$5:$AJ$220))</f>
        <v/>
      </c>
      <c r="AO99" s="26" t="e">
        <f aca="false">IF(AG99&gt;=0,IF(AN99&gt;=0,AG99-AN99,0),0)</f>
        <v>#VALUE!</v>
      </c>
      <c r="AQ99" s="27" t="n">
        <f aca="false">Z99</f>
        <v>0</v>
      </c>
      <c r="AR99" s="17" t="n">
        <f aca="false">AA99</f>
        <v>0</v>
      </c>
      <c r="AS99" s="26" t="str">
        <f aca="false">IF(AQ99="","",IF(AR99="",SUMIF($B$5:$B$220,"="&amp;AQ99,$AJ$5:$AJ$220),SUMIFS($AJ$5:$AJ$220, $B$5:$B$220, "="&amp;AQ99, $C$5:$C$220,"="&amp;AR99)))</f>
        <v/>
      </c>
      <c r="AT99" s="31" t="str">
        <f aca="false">IF(AU99&gt;0,"anular",IF(AU99&lt;0,"reforçar","nenhuma"))</f>
        <v>nenhuma</v>
      </c>
      <c r="AU99" s="26" t="n">
        <f aca="false">IF(AB99&gt;0,IF(AS99&gt;=0,AB99-AS99,0),0)</f>
        <v>0</v>
      </c>
    </row>
    <row r="100" customFormat="false" ht="15" hidden="false" customHeight="false" outlineLevel="0" collapsed="false">
      <c r="A100" s="15" t="n">
        <v>96</v>
      </c>
      <c r="B100" s="17"/>
      <c r="C100" s="17"/>
      <c r="D100" s="17"/>
      <c r="E100" s="17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R100" s="21" t="n">
        <f aca="false">IF(SUM(F100:P100)&gt;0,ROUND(AVERAGE(F100:P100),4),0)</f>
        <v>0</v>
      </c>
      <c r="T100" s="22" t="n">
        <v>0</v>
      </c>
      <c r="U100" s="39"/>
      <c r="V100" s="29"/>
      <c r="W100" s="39"/>
      <c r="X100" s="26" t="n">
        <f aca="false">IF(T100&gt;0,T100,R100)*V100</f>
        <v>0</v>
      </c>
      <c r="Z100" s="27"/>
      <c r="AA100" s="17"/>
      <c r="AB100" s="26" t="n">
        <f aca="false">IF(Z100="",0,IF(AA100="",SUMIF($B$5:$B$220,"="&amp;Z100,$X$5:$X$220),SUMIFS($X$5:$X$220, $B$5:$B$220, "="&amp;Z100, $C$5:$C$220,"="&amp;AA100)))</f>
        <v>0</v>
      </c>
      <c r="AD100" s="29"/>
      <c r="AF100" s="17"/>
      <c r="AG100" s="26" t="n">
        <f aca="false">IF(AF100="",0,SUMIF($AD$5:$AD$220,"="&amp;AF100,$X$5:$X$220))</f>
        <v>0</v>
      </c>
      <c r="AI100" s="20"/>
      <c r="AJ100" s="26" t="n">
        <f aca="false">AI100*V100</f>
        <v>0</v>
      </c>
      <c r="AK100" s="30" t="n">
        <f aca="false">IF(X100&gt;0,IF(AJ100&gt;=0,AJ100-X100,0),0)</f>
        <v>0</v>
      </c>
      <c r="AM100" s="17" t="n">
        <f aca="false">AF100</f>
        <v>0</v>
      </c>
      <c r="AN100" s="26" t="str">
        <f aca="false">IF(AM100="","",SUMIF($AD$5:$AD$220,"="&amp;AM100,$AJ$5:$AJ$220))</f>
        <v/>
      </c>
      <c r="AO100" s="26" t="e">
        <f aca="false">IF(AG100&gt;=0,IF(AN100&gt;=0,AG100-AN100,0),0)</f>
        <v>#VALUE!</v>
      </c>
      <c r="AQ100" s="27" t="n">
        <f aca="false">Z100</f>
        <v>0</v>
      </c>
      <c r="AR100" s="17" t="n">
        <f aca="false">AA100</f>
        <v>0</v>
      </c>
      <c r="AS100" s="26" t="str">
        <f aca="false">IF(AQ100="","",IF(AR100="",SUMIF($B$5:$B$220,"="&amp;AQ100,$AJ$5:$AJ$220),SUMIFS($AJ$5:$AJ$220, $B$5:$B$220, "="&amp;AQ100, $C$5:$C$220,"="&amp;AR100)))</f>
        <v/>
      </c>
      <c r="AT100" s="31" t="str">
        <f aca="false">IF(AU100&gt;0,"anular",IF(AU100&lt;0,"reforçar","nenhuma"))</f>
        <v>nenhuma</v>
      </c>
      <c r="AU100" s="26" t="n">
        <f aca="false">IF(AB100&gt;0,IF(AS100&gt;=0,AB100-AS100,0),0)</f>
        <v>0</v>
      </c>
    </row>
    <row r="101" customFormat="false" ht="15" hidden="false" customHeight="false" outlineLevel="0" collapsed="false">
      <c r="A101" s="15" t="n">
        <v>97</v>
      </c>
      <c r="B101" s="17"/>
      <c r="C101" s="17"/>
      <c r="D101" s="17"/>
      <c r="E101" s="17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R101" s="21" t="n">
        <f aca="false">IF(SUM(F101:P101)&gt;0,ROUND(AVERAGE(F101:P101),4),0)</f>
        <v>0</v>
      </c>
      <c r="T101" s="22" t="n">
        <v>0</v>
      </c>
      <c r="U101" s="39"/>
      <c r="V101" s="29"/>
      <c r="W101" s="39"/>
      <c r="X101" s="26" t="n">
        <f aca="false">IF(T101&gt;0,T101,R101)*V101</f>
        <v>0</v>
      </c>
      <c r="Z101" s="27"/>
      <c r="AA101" s="17"/>
      <c r="AB101" s="26" t="n">
        <f aca="false">IF(Z101="",0,IF(AA101="",SUMIF($B$5:$B$220,"="&amp;Z101,$X$5:$X$220),SUMIFS($X$5:$X$220, $B$5:$B$220, "="&amp;Z101, $C$5:$C$220,"="&amp;AA101)))</f>
        <v>0</v>
      </c>
      <c r="AD101" s="29"/>
      <c r="AF101" s="17"/>
      <c r="AG101" s="26" t="n">
        <f aca="false">IF(AF101="",0,SUMIF($AD$5:$AD$220,"="&amp;AF101,$X$5:$X$220))</f>
        <v>0</v>
      </c>
      <c r="AI101" s="20"/>
      <c r="AJ101" s="26" t="n">
        <f aca="false">AI101*V101</f>
        <v>0</v>
      </c>
      <c r="AK101" s="30" t="n">
        <f aca="false">IF(X101&gt;0,IF(AJ101&gt;=0,AJ101-X101,0),0)</f>
        <v>0</v>
      </c>
      <c r="AM101" s="17" t="n">
        <f aca="false">AF101</f>
        <v>0</v>
      </c>
      <c r="AN101" s="26" t="str">
        <f aca="false">IF(AM101="","",SUMIF($AD$5:$AD$220,"="&amp;AM101,$AJ$5:$AJ$220))</f>
        <v/>
      </c>
      <c r="AO101" s="26" t="e">
        <f aca="false">IF(AG101&gt;=0,IF(AN101&gt;=0,AG101-AN101,0),0)</f>
        <v>#VALUE!</v>
      </c>
      <c r="AQ101" s="27" t="n">
        <f aca="false">Z101</f>
        <v>0</v>
      </c>
      <c r="AR101" s="17" t="n">
        <f aca="false">AA101</f>
        <v>0</v>
      </c>
      <c r="AS101" s="26" t="str">
        <f aca="false">IF(AQ101="","",IF(AR101="",SUMIF($B$5:$B$220,"="&amp;AQ101,$AJ$5:$AJ$220),SUMIFS($AJ$5:$AJ$220, $B$5:$B$220, "="&amp;AQ101, $C$5:$C$220,"="&amp;AR101)))</f>
        <v/>
      </c>
      <c r="AT101" s="31" t="str">
        <f aca="false">IF(AU101&gt;0,"anular",IF(AU101&lt;0,"reforçar","nenhuma"))</f>
        <v>nenhuma</v>
      </c>
      <c r="AU101" s="26" t="n">
        <f aca="false">IF(AB101&gt;0,IF(AS101&gt;=0,AB101-AS101,0),0)</f>
        <v>0</v>
      </c>
    </row>
    <row r="102" customFormat="false" ht="15" hidden="false" customHeight="false" outlineLevel="0" collapsed="false">
      <c r="A102" s="15" t="n">
        <v>98</v>
      </c>
      <c r="B102" s="17"/>
      <c r="C102" s="17"/>
      <c r="D102" s="17"/>
      <c r="E102" s="17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R102" s="21" t="n">
        <f aca="false">IF(SUM(F102:P102)&gt;0,ROUND(AVERAGE(F102:P102),4),0)</f>
        <v>0</v>
      </c>
      <c r="T102" s="22" t="n">
        <v>0</v>
      </c>
      <c r="U102" s="39"/>
      <c r="V102" s="29"/>
      <c r="W102" s="39"/>
      <c r="X102" s="26" t="n">
        <f aca="false">IF(T102&gt;0,T102,R102)*V102</f>
        <v>0</v>
      </c>
      <c r="Z102" s="27"/>
      <c r="AA102" s="17"/>
      <c r="AB102" s="26" t="n">
        <f aca="false">IF(Z102="",0,IF(AA102="",SUMIF($B$5:$B$220,"="&amp;Z102,$X$5:$X$220),SUMIFS($X$5:$X$220, $B$5:$B$220, "="&amp;Z102, $C$5:$C$220,"="&amp;AA102)))</f>
        <v>0</v>
      </c>
      <c r="AD102" s="29"/>
      <c r="AF102" s="17"/>
      <c r="AG102" s="26" t="n">
        <f aca="false">IF(AF102="",0,SUMIF($AD$5:$AD$220,"="&amp;AF102,$X$5:$X$220))</f>
        <v>0</v>
      </c>
      <c r="AI102" s="20"/>
      <c r="AJ102" s="26" t="n">
        <f aca="false">AI102*V102</f>
        <v>0</v>
      </c>
      <c r="AK102" s="30" t="n">
        <f aca="false">IF(X102&gt;0,IF(AJ102&gt;=0,AJ102-X102,0),0)</f>
        <v>0</v>
      </c>
      <c r="AM102" s="17" t="n">
        <f aca="false">AF102</f>
        <v>0</v>
      </c>
      <c r="AN102" s="26" t="str">
        <f aca="false">IF(AM102="","",SUMIF($AD$5:$AD$220,"="&amp;AM102,$AJ$5:$AJ$220))</f>
        <v/>
      </c>
      <c r="AO102" s="26" t="e">
        <f aca="false">IF(AG102&gt;=0,IF(AN102&gt;=0,AG102-AN102,0),0)</f>
        <v>#VALUE!</v>
      </c>
      <c r="AQ102" s="27" t="n">
        <f aca="false">Z102</f>
        <v>0</v>
      </c>
      <c r="AR102" s="17" t="n">
        <f aca="false">AA102</f>
        <v>0</v>
      </c>
      <c r="AS102" s="26" t="str">
        <f aca="false">IF(AQ102="","",IF(AR102="",SUMIF($B$5:$B$220,"="&amp;AQ102,$AJ$5:$AJ$220),SUMIFS($AJ$5:$AJ$220, $B$5:$B$220, "="&amp;AQ102, $C$5:$C$220,"="&amp;AR102)))</f>
        <v/>
      </c>
      <c r="AT102" s="31" t="str">
        <f aca="false">IF(AU102&gt;0,"anular",IF(AU102&lt;0,"reforçar","nenhuma"))</f>
        <v>nenhuma</v>
      </c>
      <c r="AU102" s="26" t="n">
        <f aca="false">IF(AB102&gt;0,IF(AS102&gt;=0,AB102-AS102,0),0)</f>
        <v>0</v>
      </c>
    </row>
    <row r="103" customFormat="false" ht="15" hidden="false" customHeight="false" outlineLevel="0" collapsed="false">
      <c r="A103" s="15" t="n">
        <v>99</v>
      </c>
      <c r="B103" s="17"/>
      <c r="C103" s="17"/>
      <c r="D103" s="17"/>
      <c r="E103" s="17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R103" s="21" t="n">
        <f aca="false">IF(SUM(F103:P103)&gt;0,ROUND(AVERAGE(F103:P103),4),0)</f>
        <v>0</v>
      </c>
      <c r="T103" s="22" t="n">
        <v>0</v>
      </c>
      <c r="U103" s="39"/>
      <c r="V103" s="29"/>
      <c r="W103" s="39"/>
      <c r="X103" s="26" t="n">
        <f aca="false">IF(T103&gt;0,T103,R103)*V103</f>
        <v>0</v>
      </c>
      <c r="Z103" s="27"/>
      <c r="AA103" s="17"/>
      <c r="AB103" s="26" t="n">
        <f aca="false">IF(Z103="",0,IF(AA103="",SUMIF($B$5:$B$220,"="&amp;Z103,$X$5:$X$220),SUMIFS($X$5:$X$220, $B$5:$B$220, "="&amp;Z103, $C$5:$C$220,"="&amp;AA103)))</f>
        <v>0</v>
      </c>
      <c r="AD103" s="29"/>
      <c r="AF103" s="17"/>
      <c r="AG103" s="26" t="n">
        <f aca="false">IF(AF103="",0,SUMIF($AD$5:$AD$220,"="&amp;AF103,$X$5:$X$220))</f>
        <v>0</v>
      </c>
      <c r="AI103" s="20"/>
      <c r="AJ103" s="26" t="n">
        <f aca="false">AI103*V103</f>
        <v>0</v>
      </c>
      <c r="AK103" s="30" t="n">
        <f aca="false">IF(X103&gt;0,IF(AJ103&gt;=0,AJ103-X103,0),0)</f>
        <v>0</v>
      </c>
      <c r="AM103" s="17" t="n">
        <f aca="false">AF103</f>
        <v>0</v>
      </c>
      <c r="AN103" s="26" t="str">
        <f aca="false">IF(AM103="","",SUMIF($AD$5:$AD$220,"="&amp;AM103,$AJ$5:$AJ$220))</f>
        <v/>
      </c>
      <c r="AO103" s="26" t="e">
        <f aca="false">IF(AG103&gt;=0,IF(AN103&gt;=0,AG103-AN103,0),0)</f>
        <v>#VALUE!</v>
      </c>
      <c r="AQ103" s="27" t="n">
        <f aca="false">Z103</f>
        <v>0</v>
      </c>
      <c r="AR103" s="17" t="n">
        <f aca="false">AA103</f>
        <v>0</v>
      </c>
      <c r="AS103" s="26" t="str">
        <f aca="false">IF(AQ103="","",IF(AR103="",SUMIF($B$5:$B$220,"="&amp;AQ103,$AJ$5:$AJ$220),SUMIFS($AJ$5:$AJ$220, $B$5:$B$220, "="&amp;AQ103, $C$5:$C$220,"="&amp;AR103)))</f>
        <v/>
      </c>
      <c r="AT103" s="31" t="str">
        <f aca="false">IF(AU103&gt;0,"anular",IF(AU103&lt;0,"reforçar","nenhuma"))</f>
        <v>nenhuma</v>
      </c>
      <c r="AU103" s="26" t="n">
        <f aca="false">IF(AB103&gt;0,IF(AS103&gt;=0,AB103-AS103,0),0)</f>
        <v>0</v>
      </c>
    </row>
    <row r="104" customFormat="false" ht="15" hidden="false" customHeight="false" outlineLevel="0" collapsed="false">
      <c r="A104" s="15" t="n">
        <v>100</v>
      </c>
      <c r="B104" s="17"/>
      <c r="C104" s="17"/>
      <c r="D104" s="17"/>
      <c r="E104" s="17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R104" s="21" t="n">
        <f aca="false">IF(SUM(F104:P104)&gt;0,ROUND(AVERAGE(F104:P104),4),0)</f>
        <v>0</v>
      </c>
      <c r="T104" s="22" t="n">
        <v>0</v>
      </c>
      <c r="U104" s="39"/>
      <c r="V104" s="29"/>
      <c r="W104" s="39"/>
      <c r="X104" s="26" t="n">
        <f aca="false">IF(T104&gt;0,T104,R104)*V104</f>
        <v>0</v>
      </c>
      <c r="Z104" s="27"/>
      <c r="AA104" s="17"/>
      <c r="AB104" s="26" t="n">
        <f aca="false">IF(Z104="",0,IF(AA104="",SUMIF($B$5:$B$220,"="&amp;Z104,$X$5:$X$220),SUMIFS($X$5:$X$220, $B$5:$B$220, "="&amp;Z104, $C$5:$C$220,"="&amp;AA104)))</f>
        <v>0</v>
      </c>
      <c r="AD104" s="29"/>
      <c r="AF104" s="17"/>
      <c r="AG104" s="26" t="n">
        <f aca="false">IF(AF104="",0,SUMIF($AD$5:$AD$220,"="&amp;AF104,$X$5:$X$220))</f>
        <v>0</v>
      </c>
      <c r="AI104" s="20"/>
      <c r="AJ104" s="26" t="n">
        <f aca="false">AI104*V104</f>
        <v>0</v>
      </c>
      <c r="AK104" s="30" t="n">
        <f aca="false">IF(X104&gt;0,IF(AJ104&gt;=0,AJ104-X104,0),0)</f>
        <v>0</v>
      </c>
      <c r="AM104" s="17" t="n">
        <f aca="false">AF104</f>
        <v>0</v>
      </c>
      <c r="AN104" s="26" t="str">
        <f aca="false">IF(AM104="","",SUMIF($AD$5:$AD$220,"="&amp;AM104,$AJ$5:$AJ$220))</f>
        <v/>
      </c>
      <c r="AO104" s="26" t="e">
        <f aca="false">IF(AG104&gt;=0,IF(AN104&gt;=0,AG104-AN104,0),0)</f>
        <v>#VALUE!</v>
      </c>
      <c r="AQ104" s="27" t="n">
        <f aca="false">Z104</f>
        <v>0</v>
      </c>
      <c r="AR104" s="17" t="n">
        <f aca="false">AA104</f>
        <v>0</v>
      </c>
      <c r="AS104" s="26" t="str">
        <f aca="false">IF(AQ104="","",IF(AR104="",SUMIF($B$5:$B$220,"="&amp;AQ104,$AJ$5:$AJ$220),SUMIFS($AJ$5:$AJ$220, $B$5:$B$220, "="&amp;AQ104, $C$5:$C$220,"="&amp;AR104)))</f>
        <v/>
      </c>
      <c r="AT104" s="31" t="str">
        <f aca="false">IF(AU104&gt;0,"anular",IF(AU104&lt;0,"reforçar","nenhuma"))</f>
        <v>nenhuma</v>
      </c>
      <c r="AU104" s="26" t="n">
        <f aca="false">IF(AB104&gt;0,IF(AS104&gt;=0,AB104-AS104,0),0)</f>
        <v>0</v>
      </c>
    </row>
    <row r="105" customFormat="false" ht="15" hidden="false" customHeight="false" outlineLevel="0" collapsed="false">
      <c r="A105" s="15" t="n">
        <v>101</v>
      </c>
      <c r="B105" s="17"/>
      <c r="C105" s="17"/>
      <c r="D105" s="17"/>
      <c r="E105" s="17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R105" s="21" t="n">
        <f aca="false">IF(SUM(F105:P105)&gt;0,ROUND(AVERAGE(F105:P105),4),0)</f>
        <v>0</v>
      </c>
      <c r="T105" s="22" t="n">
        <v>0</v>
      </c>
      <c r="U105" s="39"/>
      <c r="V105" s="29"/>
      <c r="W105" s="39"/>
      <c r="X105" s="26" t="n">
        <f aca="false">IF(T105&gt;0,T105,R105)*V105</f>
        <v>0</v>
      </c>
      <c r="Z105" s="27"/>
      <c r="AA105" s="17"/>
      <c r="AB105" s="26" t="n">
        <f aca="false">IF(Z105="",0,IF(AA105="",SUMIF($B$5:$B$220,"="&amp;Z105,$X$5:$X$220),SUMIFS($X$5:$X$220, $B$5:$B$220, "="&amp;Z105, $C$5:$C$220,"="&amp;AA105)))</f>
        <v>0</v>
      </c>
      <c r="AD105" s="29"/>
      <c r="AF105" s="17"/>
      <c r="AG105" s="26" t="n">
        <f aca="false">IF(AF105="",0,SUMIF($AD$5:$AD$220,"="&amp;AF105,$X$5:$X$220))</f>
        <v>0</v>
      </c>
      <c r="AI105" s="20"/>
      <c r="AJ105" s="26" t="n">
        <f aca="false">AI105*V105</f>
        <v>0</v>
      </c>
      <c r="AK105" s="30" t="n">
        <f aca="false">IF(X105&gt;0,IF(AJ105&gt;=0,AJ105-X105,0),0)</f>
        <v>0</v>
      </c>
      <c r="AM105" s="17" t="n">
        <f aca="false">AF105</f>
        <v>0</v>
      </c>
      <c r="AN105" s="26" t="str">
        <f aca="false">IF(AM105="","",SUMIF($AD$5:$AD$220,"="&amp;AM105,$AJ$5:$AJ$220))</f>
        <v/>
      </c>
      <c r="AO105" s="26" t="e">
        <f aca="false">IF(AG105&gt;=0,IF(AN105&gt;=0,AG105-AN105,0),0)</f>
        <v>#VALUE!</v>
      </c>
      <c r="AQ105" s="27" t="n">
        <f aca="false">Z105</f>
        <v>0</v>
      </c>
      <c r="AR105" s="17" t="n">
        <f aca="false">AA105</f>
        <v>0</v>
      </c>
      <c r="AS105" s="26" t="str">
        <f aca="false">IF(AQ105="","",IF(AR105="",SUMIF($B$5:$B$220,"="&amp;AQ105,$AJ$5:$AJ$220),SUMIFS($AJ$5:$AJ$220, $B$5:$B$220, "="&amp;AQ105, $C$5:$C$220,"="&amp;AR105)))</f>
        <v/>
      </c>
      <c r="AT105" s="31" t="str">
        <f aca="false">IF(AU105&gt;0,"anular",IF(AU105&lt;0,"reforçar","nenhuma"))</f>
        <v>nenhuma</v>
      </c>
      <c r="AU105" s="26" t="n">
        <f aca="false">IF(AB105&gt;0,IF(AS105&gt;=0,AB105-AS105,0),0)</f>
        <v>0</v>
      </c>
    </row>
    <row r="106" customFormat="false" ht="15" hidden="false" customHeight="false" outlineLevel="0" collapsed="false">
      <c r="A106" s="15" t="n">
        <v>102</v>
      </c>
      <c r="B106" s="17"/>
      <c r="C106" s="17"/>
      <c r="D106" s="17"/>
      <c r="E106" s="17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R106" s="21" t="n">
        <f aca="false">IF(SUM(F106:P106)&gt;0,ROUND(AVERAGE(F106:P106),4),0)</f>
        <v>0</v>
      </c>
      <c r="T106" s="22" t="n">
        <v>0</v>
      </c>
      <c r="U106" s="39"/>
      <c r="V106" s="29"/>
      <c r="W106" s="39"/>
      <c r="X106" s="26" t="n">
        <f aca="false">IF(T106&gt;0,T106,R106)*V106</f>
        <v>0</v>
      </c>
      <c r="Z106" s="27"/>
      <c r="AA106" s="17"/>
      <c r="AB106" s="26" t="n">
        <f aca="false">IF(Z106="",0,IF(AA106="",SUMIF($B$5:$B$220,"="&amp;Z106,$X$5:$X$220),SUMIFS($X$5:$X$220, $B$5:$B$220, "="&amp;Z106, $C$5:$C$220,"="&amp;AA106)))</f>
        <v>0</v>
      </c>
      <c r="AD106" s="29"/>
      <c r="AF106" s="17"/>
      <c r="AG106" s="26" t="n">
        <f aca="false">IF(AF106="",0,SUMIF($AD$5:$AD$220,"="&amp;AF106,$X$5:$X$220))</f>
        <v>0</v>
      </c>
      <c r="AI106" s="20"/>
      <c r="AJ106" s="26" t="n">
        <f aca="false">AI106*V106</f>
        <v>0</v>
      </c>
      <c r="AK106" s="30" t="n">
        <f aca="false">IF(X106&gt;0,IF(AJ106&gt;=0,AJ106-X106,0),0)</f>
        <v>0</v>
      </c>
      <c r="AM106" s="17" t="n">
        <f aca="false">AF106</f>
        <v>0</v>
      </c>
      <c r="AN106" s="26" t="str">
        <f aca="false">IF(AM106="","",SUMIF($AD$5:$AD$220,"="&amp;AM106,$AJ$5:$AJ$220))</f>
        <v/>
      </c>
      <c r="AO106" s="26" t="e">
        <f aca="false">IF(AG106&gt;=0,IF(AN106&gt;=0,AG106-AN106,0),0)</f>
        <v>#VALUE!</v>
      </c>
      <c r="AQ106" s="27" t="n">
        <f aca="false">Z106</f>
        <v>0</v>
      </c>
      <c r="AR106" s="17" t="n">
        <f aca="false">AA106</f>
        <v>0</v>
      </c>
      <c r="AS106" s="26" t="str">
        <f aca="false">IF(AQ106="","",IF(AR106="",SUMIF($B$5:$B$220,"="&amp;AQ106,$AJ$5:$AJ$220),SUMIFS($AJ$5:$AJ$220, $B$5:$B$220, "="&amp;AQ106, $C$5:$C$220,"="&amp;AR106)))</f>
        <v/>
      </c>
      <c r="AT106" s="31" t="str">
        <f aca="false">IF(AU106&gt;0,"anular",IF(AU106&lt;0,"reforçar","nenhuma"))</f>
        <v>nenhuma</v>
      </c>
      <c r="AU106" s="26" t="n">
        <f aca="false">IF(AB106&gt;0,IF(AS106&gt;=0,AB106-AS106,0),0)</f>
        <v>0</v>
      </c>
    </row>
    <row r="107" customFormat="false" ht="15" hidden="false" customHeight="false" outlineLevel="0" collapsed="false">
      <c r="A107" s="15" t="n">
        <v>103</v>
      </c>
      <c r="B107" s="17"/>
      <c r="C107" s="17"/>
      <c r="D107" s="17"/>
      <c r="E107" s="17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R107" s="21" t="n">
        <f aca="false">IF(SUM(F107:P107)&gt;0,ROUND(AVERAGE(F107:P107),4),0)</f>
        <v>0</v>
      </c>
      <c r="T107" s="22" t="n">
        <v>0</v>
      </c>
      <c r="U107" s="39"/>
      <c r="V107" s="29"/>
      <c r="W107" s="39"/>
      <c r="X107" s="26" t="n">
        <f aca="false">IF(T107&gt;0,T107,R107)*V107</f>
        <v>0</v>
      </c>
      <c r="Z107" s="27"/>
      <c r="AA107" s="17"/>
      <c r="AB107" s="26" t="n">
        <f aca="false">IF(Z107="",0,IF(AA107="",SUMIF($B$5:$B$220,"="&amp;Z107,$X$5:$X$220),SUMIFS($X$5:$X$220, $B$5:$B$220, "="&amp;Z107, $C$5:$C$220,"="&amp;AA107)))</f>
        <v>0</v>
      </c>
      <c r="AD107" s="29"/>
      <c r="AF107" s="17"/>
      <c r="AG107" s="26" t="n">
        <f aca="false">IF(AF107="",0,SUMIF($AD$5:$AD$220,"="&amp;AF107,$X$5:$X$220))</f>
        <v>0</v>
      </c>
      <c r="AI107" s="20"/>
      <c r="AJ107" s="26" t="n">
        <f aca="false">AI107*V107</f>
        <v>0</v>
      </c>
      <c r="AK107" s="30" t="n">
        <f aca="false">IF(X107&gt;0,IF(AJ107&gt;=0,AJ107-X107,0),0)</f>
        <v>0</v>
      </c>
      <c r="AM107" s="17" t="n">
        <f aca="false">AF107</f>
        <v>0</v>
      </c>
      <c r="AN107" s="26" t="str">
        <f aca="false">IF(AM107="","",SUMIF($AD$5:$AD$220,"="&amp;AM107,$AJ$5:$AJ$220))</f>
        <v/>
      </c>
      <c r="AO107" s="26" t="e">
        <f aca="false">IF(AG107&gt;=0,IF(AN107&gt;=0,AG107-AN107,0),0)</f>
        <v>#VALUE!</v>
      </c>
      <c r="AQ107" s="27" t="n">
        <f aca="false">Z107</f>
        <v>0</v>
      </c>
      <c r="AR107" s="17" t="n">
        <f aca="false">AA107</f>
        <v>0</v>
      </c>
      <c r="AS107" s="26" t="str">
        <f aca="false">IF(AQ107="","",IF(AR107="",SUMIF($B$5:$B$220,"="&amp;AQ107,$AJ$5:$AJ$220),SUMIFS($AJ$5:$AJ$220, $B$5:$B$220, "="&amp;AQ107, $C$5:$C$220,"="&amp;AR107)))</f>
        <v/>
      </c>
      <c r="AT107" s="31" t="str">
        <f aca="false">IF(AU107&gt;0,"anular",IF(AU107&lt;0,"reforçar","nenhuma"))</f>
        <v>nenhuma</v>
      </c>
      <c r="AU107" s="26" t="n">
        <f aca="false">IF(AB107&gt;0,IF(AS107&gt;=0,AB107-AS107,0),0)</f>
        <v>0</v>
      </c>
    </row>
    <row r="108" customFormat="false" ht="15" hidden="false" customHeight="false" outlineLevel="0" collapsed="false">
      <c r="A108" s="15" t="n">
        <v>104</v>
      </c>
      <c r="B108" s="17"/>
      <c r="C108" s="17"/>
      <c r="D108" s="17"/>
      <c r="E108" s="17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R108" s="21" t="n">
        <f aca="false">IF(SUM(F108:P108)&gt;0,ROUND(AVERAGE(F108:P108),4),0)</f>
        <v>0</v>
      </c>
      <c r="T108" s="22" t="n">
        <v>0</v>
      </c>
      <c r="U108" s="39"/>
      <c r="V108" s="29"/>
      <c r="W108" s="39"/>
      <c r="X108" s="26" t="n">
        <f aca="false">IF(T108&gt;0,T108,R108)*V108</f>
        <v>0</v>
      </c>
      <c r="Z108" s="27"/>
      <c r="AA108" s="17"/>
      <c r="AB108" s="26" t="n">
        <f aca="false">IF(Z108="",0,IF(AA108="",SUMIF($B$5:$B$220,"="&amp;Z108,$X$5:$X$220),SUMIFS($X$5:$X$220, $B$5:$B$220, "="&amp;Z108, $C$5:$C$220,"="&amp;AA108)))</f>
        <v>0</v>
      </c>
      <c r="AD108" s="29"/>
      <c r="AF108" s="17"/>
      <c r="AG108" s="26" t="n">
        <f aca="false">IF(AF108="",0,SUMIF($AD$5:$AD$220,"="&amp;AF108,$X$5:$X$220))</f>
        <v>0</v>
      </c>
      <c r="AI108" s="20"/>
      <c r="AJ108" s="26" t="n">
        <f aca="false">AI108*V108</f>
        <v>0</v>
      </c>
      <c r="AK108" s="30" t="n">
        <f aca="false">IF(X108&gt;0,IF(AJ108&gt;=0,AJ108-X108,0),0)</f>
        <v>0</v>
      </c>
      <c r="AM108" s="17" t="n">
        <f aca="false">AF108</f>
        <v>0</v>
      </c>
      <c r="AN108" s="26" t="str">
        <f aca="false">IF(AM108="","",SUMIF($AD$5:$AD$220,"="&amp;AM108,$AJ$5:$AJ$220))</f>
        <v/>
      </c>
      <c r="AO108" s="26" t="e">
        <f aca="false">IF(AG108&gt;=0,IF(AN108&gt;=0,AG108-AN108,0),0)</f>
        <v>#VALUE!</v>
      </c>
      <c r="AQ108" s="27" t="n">
        <f aca="false">Z108</f>
        <v>0</v>
      </c>
      <c r="AR108" s="17" t="n">
        <f aca="false">AA108</f>
        <v>0</v>
      </c>
      <c r="AS108" s="26" t="str">
        <f aca="false">IF(AQ108="","",IF(AR108="",SUMIF($B$5:$B$220,"="&amp;AQ108,$AJ$5:$AJ$220),SUMIFS($AJ$5:$AJ$220, $B$5:$B$220, "="&amp;AQ108, $C$5:$C$220,"="&amp;AR108)))</f>
        <v/>
      </c>
      <c r="AT108" s="31" t="str">
        <f aca="false">IF(AU108&gt;0,"anular",IF(AU108&lt;0,"reforçar","nenhuma"))</f>
        <v>nenhuma</v>
      </c>
      <c r="AU108" s="26" t="n">
        <f aca="false">IF(AB108&gt;0,IF(AS108&gt;=0,AB108-AS108,0),0)</f>
        <v>0</v>
      </c>
    </row>
    <row r="109" customFormat="false" ht="15" hidden="false" customHeight="false" outlineLevel="0" collapsed="false">
      <c r="A109" s="15" t="n">
        <v>105</v>
      </c>
      <c r="B109" s="17"/>
      <c r="C109" s="17"/>
      <c r="D109" s="17"/>
      <c r="E109" s="17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R109" s="21" t="n">
        <f aca="false">IF(SUM(F109:P109)&gt;0,ROUND(AVERAGE(F109:P109),4),0)</f>
        <v>0</v>
      </c>
      <c r="T109" s="22" t="n">
        <v>0</v>
      </c>
      <c r="U109" s="39"/>
      <c r="V109" s="29"/>
      <c r="W109" s="39"/>
      <c r="X109" s="26" t="n">
        <f aca="false">IF(T109&gt;0,T109,R109)*V109</f>
        <v>0</v>
      </c>
      <c r="Z109" s="27"/>
      <c r="AA109" s="17"/>
      <c r="AB109" s="26" t="n">
        <f aca="false">IF(Z109="",0,IF(AA109="",SUMIF($B$5:$B$220,"="&amp;Z109,$X$5:$X$220),SUMIFS($X$5:$X$220, $B$5:$B$220, "="&amp;Z109, $C$5:$C$220,"="&amp;AA109)))</f>
        <v>0</v>
      </c>
      <c r="AD109" s="29"/>
      <c r="AF109" s="17"/>
      <c r="AG109" s="26" t="n">
        <f aca="false">IF(AF109="",0,SUMIF($AD$5:$AD$220,"="&amp;AF109,$X$5:$X$220))</f>
        <v>0</v>
      </c>
      <c r="AI109" s="20"/>
      <c r="AJ109" s="26" t="n">
        <f aca="false">AI109*V109</f>
        <v>0</v>
      </c>
      <c r="AK109" s="30" t="n">
        <f aca="false">IF(X109&gt;0,IF(AJ109&gt;=0,AJ109-X109,0),0)</f>
        <v>0</v>
      </c>
      <c r="AM109" s="17" t="n">
        <f aca="false">AF109</f>
        <v>0</v>
      </c>
      <c r="AN109" s="26" t="str">
        <f aca="false">IF(AM109="","",SUMIF($AD$5:$AD$220,"="&amp;AM109,$AJ$5:$AJ$220))</f>
        <v/>
      </c>
      <c r="AO109" s="26" t="e">
        <f aca="false">IF(AG109&gt;=0,IF(AN109&gt;=0,AG109-AN109,0),0)</f>
        <v>#VALUE!</v>
      </c>
      <c r="AQ109" s="27" t="n">
        <f aca="false">Z109</f>
        <v>0</v>
      </c>
      <c r="AR109" s="17" t="n">
        <f aca="false">AA109</f>
        <v>0</v>
      </c>
      <c r="AS109" s="26" t="str">
        <f aca="false">IF(AQ109="","",IF(AR109="",SUMIF($B$5:$B$220,"="&amp;AQ109,$AJ$5:$AJ$220),SUMIFS($AJ$5:$AJ$220, $B$5:$B$220, "="&amp;AQ109, $C$5:$C$220,"="&amp;AR109)))</f>
        <v/>
      </c>
      <c r="AT109" s="31" t="str">
        <f aca="false">IF(AU109&gt;0,"anular",IF(AU109&lt;0,"reforçar","nenhuma"))</f>
        <v>nenhuma</v>
      </c>
      <c r="AU109" s="26" t="n">
        <f aca="false">IF(AB109&gt;0,IF(AS109&gt;=0,AB109-AS109,0),0)</f>
        <v>0</v>
      </c>
    </row>
    <row r="110" customFormat="false" ht="15" hidden="false" customHeight="false" outlineLevel="0" collapsed="false">
      <c r="A110" s="15" t="n">
        <v>106</v>
      </c>
      <c r="B110" s="17"/>
      <c r="C110" s="17"/>
      <c r="D110" s="17"/>
      <c r="E110" s="17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R110" s="21" t="n">
        <f aca="false">IF(SUM(F110:P110)&gt;0,ROUND(AVERAGE(F110:P110),4),0)</f>
        <v>0</v>
      </c>
      <c r="T110" s="22" t="n">
        <v>0</v>
      </c>
      <c r="U110" s="39"/>
      <c r="V110" s="29"/>
      <c r="W110" s="39"/>
      <c r="X110" s="26" t="n">
        <f aca="false">IF(T110&gt;0,T110,R110)*V110</f>
        <v>0</v>
      </c>
      <c r="Z110" s="27"/>
      <c r="AA110" s="17"/>
      <c r="AB110" s="26" t="n">
        <f aca="false">IF(Z110="",0,IF(AA110="",SUMIF($B$5:$B$220,"="&amp;Z110,$X$5:$X$220),SUMIFS($X$5:$X$220, $B$5:$B$220, "="&amp;Z110, $C$5:$C$220,"="&amp;AA110)))</f>
        <v>0</v>
      </c>
      <c r="AD110" s="29"/>
      <c r="AF110" s="17"/>
      <c r="AG110" s="26" t="n">
        <f aca="false">IF(AF110="",0,SUMIF($AD$5:$AD$220,"="&amp;AF110,$X$5:$X$220))</f>
        <v>0</v>
      </c>
      <c r="AI110" s="20"/>
      <c r="AJ110" s="26" t="n">
        <f aca="false">AI110*V110</f>
        <v>0</v>
      </c>
      <c r="AK110" s="30" t="n">
        <f aca="false">IF(X110&gt;0,IF(AJ110&gt;=0,AJ110-X110,0),0)</f>
        <v>0</v>
      </c>
      <c r="AM110" s="17" t="n">
        <f aca="false">AF110</f>
        <v>0</v>
      </c>
      <c r="AN110" s="26" t="str">
        <f aca="false">IF(AM110="","",SUMIF($AD$5:$AD$220,"="&amp;AM110,$AJ$5:$AJ$220))</f>
        <v/>
      </c>
      <c r="AO110" s="26" t="e">
        <f aca="false">IF(AG110&gt;=0,IF(AN110&gt;=0,AG110-AN110,0),0)</f>
        <v>#VALUE!</v>
      </c>
      <c r="AQ110" s="27" t="n">
        <f aca="false">Z110</f>
        <v>0</v>
      </c>
      <c r="AR110" s="17" t="n">
        <f aca="false">AA110</f>
        <v>0</v>
      </c>
      <c r="AS110" s="26" t="str">
        <f aca="false">IF(AQ110="","",IF(AR110="",SUMIF($B$5:$B$220,"="&amp;AQ110,$AJ$5:$AJ$220),SUMIFS($AJ$5:$AJ$220, $B$5:$B$220, "="&amp;AQ110, $C$5:$C$220,"="&amp;AR110)))</f>
        <v/>
      </c>
      <c r="AT110" s="31" t="str">
        <f aca="false">IF(AU110&gt;0,"anular",IF(AU110&lt;0,"reforçar","nenhuma"))</f>
        <v>nenhuma</v>
      </c>
      <c r="AU110" s="26" t="n">
        <f aca="false">IF(AB110&gt;0,IF(AS110&gt;=0,AB110-AS110,0),0)</f>
        <v>0</v>
      </c>
    </row>
    <row r="111" customFormat="false" ht="15" hidden="false" customHeight="false" outlineLevel="0" collapsed="false">
      <c r="A111" s="15" t="n">
        <v>107</v>
      </c>
      <c r="B111" s="17"/>
      <c r="C111" s="17"/>
      <c r="D111" s="17"/>
      <c r="E111" s="17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R111" s="21" t="n">
        <f aca="false">IF(SUM(F111:P111)&gt;0,ROUND(AVERAGE(F111:P111),4),0)</f>
        <v>0</v>
      </c>
      <c r="T111" s="22" t="n">
        <v>0</v>
      </c>
      <c r="U111" s="39"/>
      <c r="V111" s="29"/>
      <c r="W111" s="39"/>
      <c r="X111" s="26" t="n">
        <f aca="false">IF(T111&gt;0,T111,R111)*V111</f>
        <v>0</v>
      </c>
      <c r="Z111" s="27"/>
      <c r="AA111" s="17"/>
      <c r="AB111" s="26" t="n">
        <f aca="false">IF(Z111="",0,IF(AA111="",SUMIF($B$5:$B$220,"="&amp;Z111,$X$5:$X$220),SUMIFS($X$5:$X$220, $B$5:$B$220, "="&amp;Z111, $C$5:$C$220,"="&amp;AA111)))</f>
        <v>0</v>
      </c>
      <c r="AD111" s="29"/>
      <c r="AF111" s="17"/>
      <c r="AG111" s="26" t="n">
        <f aca="false">IF(AF111="",0,SUMIF($AD$5:$AD$220,"="&amp;AF111,$X$5:$X$220))</f>
        <v>0</v>
      </c>
      <c r="AI111" s="20"/>
      <c r="AJ111" s="26" t="n">
        <f aca="false">AI111*V111</f>
        <v>0</v>
      </c>
      <c r="AK111" s="30" t="n">
        <f aca="false">IF(X111&gt;0,IF(AJ111&gt;=0,AJ111-X111,0),0)</f>
        <v>0</v>
      </c>
      <c r="AM111" s="17" t="n">
        <f aca="false">AF111</f>
        <v>0</v>
      </c>
      <c r="AN111" s="26" t="str">
        <f aca="false">IF(AM111="","",SUMIF($AD$5:$AD$220,"="&amp;AM111,$AJ$5:$AJ$220))</f>
        <v/>
      </c>
      <c r="AO111" s="26" t="e">
        <f aca="false">IF(AG111&gt;=0,IF(AN111&gt;=0,AG111-AN111,0),0)</f>
        <v>#VALUE!</v>
      </c>
      <c r="AQ111" s="27" t="n">
        <f aca="false">Z111</f>
        <v>0</v>
      </c>
      <c r="AR111" s="17" t="n">
        <f aca="false">AA111</f>
        <v>0</v>
      </c>
      <c r="AS111" s="26" t="str">
        <f aca="false">IF(AQ111="","",IF(AR111="",SUMIF($B$5:$B$220,"="&amp;AQ111,$AJ$5:$AJ$220),SUMIFS($AJ$5:$AJ$220, $B$5:$B$220, "="&amp;AQ111, $C$5:$C$220,"="&amp;AR111)))</f>
        <v/>
      </c>
      <c r="AT111" s="31" t="str">
        <f aca="false">IF(AU111&gt;0,"anular",IF(AU111&lt;0,"reforçar","nenhuma"))</f>
        <v>nenhuma</v>
      </c>
      <c r="AU111" s="26" t="n">
        <f aca="false">IF(AB111&gt;0,IF(AS111&gt;=0,AB111-AS111,0),0)</f>
        <v>0</v>
      </c>
    </row>
    <row r="112" customFormat="false" ht="15" hidden="false" customHeight="false" outlineLevel="0" collapsed="false">
      <c r="A112" s="15" t="n">
        <v>108</v>
      </c>
      <c r="B112" s="17"/>
      <c r="C112" s="17"/>
      <c r="D112" s="17"/>
      <c r="E112" s="17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R112" s="21" t="n">
        <f aca="false">IF(SUM(F112:P112)&gt;0,ROUND(AVERAGE(F112:P112),4),0)</f>
        <v>0</v>
      </c>
      <c r="T112" s="22" t="n">
        <v>0</v>
      </c>
      <c r="U112" s="39"/>
      <c r="V112" s="29"/>
      <c r="W112" s="39"/>
      <c r="X112" s="26" t="n">
        <f aca="false">IF(T112&gt;0,T112,R112)*V112</f>
        <v>0</v>
      </c>
      <c r="Z112" s="27"/>
      <c r="AA112" s="17"/>
      <c r="AB112" s="26" t="n">
        <f aca="false">IF(Z112="",0,IF(AA112="",SUMIF($B$5:$B$220,"="&amp;Z112,$X$5:$X$220),SUMIFS($X$5:$X$220, $B$5:$B$220, "="&amp;Z112, $C$5:$C$220,"="&amp;AA112)))</f>
        <v>0</v>
      </c>
      <c r="AD112" s="29"/>
      <c r="AF112" s="17"/>
      <c r="AG112" s="26" t="n">
        <f aca="false">IF(AF112="",0,SUMIF($AD$5:$AD$220,"="&amp;AF112,$X$5:$X$220))</f>
        <v>0</v>
      </c>
      <c r="AI112" s="20"/>
      <c r="AJ112" s="26" t="n">
        <f aca="false">AI112*V112</f>
        <v>0</v>
      </c>
      <c r="AK112" s="30" t="n">
        <f aca="false">IF(X112&gt;0,IF(AJ112&gt;=0,AJ112-X112,0),0)</f>
        <v>0</v>
      </c>
      <c r="AM112" s="17" t="n">
        <f aca="false">AF112</f>
        <v>0</v>
      </c>
      <c r="AN112" s="26" t="str">
        <f aca="false">IF(AM112="","",SUMIF($AD$5:$AD$220,"="&amp;AM112,$AJ$5:$AJ$220))</f>
        <v/>
      </c>
      <c r="AO112" s="26" t="e">
        <f aca="false">IF(AG112&gt;=0,IF(AN112&gt;=0,AG112-AN112,0),0)</f>
        <v>#VALUE!</v>
      </c>
      <c r="AQ112" s="27" t="n">
        <f aca="false">Z112</f>
        <v>0</v>
      </c>
      <c r="AR112" s="17" t="n">
        <f aca="false">AA112</f>
        <v>0</v>
      </c>
      <c r="AS112" s="26" t="str">
        <f aca="false">IF(AQ112="","",IF(AR112="",SUMIF($B$5:$B$220,"="&amp;AQ112,$AJ$5:$AJ$220),SUMIFS($AJ$5:$AJ$220, $B$5:$B$220, "="&amp;AQ112, $C$5:$C$220,"="&amp;AR112)))</f>
        <v/>
      </c>
      <c r="AT112" s="31" t="str">
        <f aca="false">IF(AU112&gt;0,"anular",IF(AU112&lt;0,"reforçar","nenhuma"))</f>
        <v>nenhuma</v>
      </c>
      <c r="AU112" s="26" t="n">
        <f aca="false">IF(AB112&gt;0,IF(AS112&gt;=0,AB112-AS112,0),0)</f>
        <v>0</v>
      </c>
    </row>
    <row r="113" customFormat="false" ht="15" hidden="false" customHeight="false" outlineLevel="0" collapsed="false">
      <c r="A113" s="15" t="n">
        <v>109</v>
      </c>
      <c r="B113" s="17"/>
      <c r="C113" s="17"/>
      <c r="D113" s="17"/>
      <c r="E113" s="17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R113" s="21" t="n">
        <f aca="false">IF(SUM(F113:P113)&gt;0,ROUND(AVERAGE(F113:P113),4),0)</f>
        <v>0</v>
      </c>
      <c r="T113" s="22" t="n">
        <v>0</v>
      </c>
      <c r="U113" s="39"/>
      <c r="V113" s="29"/>
      <c r="W113" s="39"/>
      <c r="X113" s="26" t="n">
        <f aca="false">IF(T113&gt;0,T113,R113)*V113</f>
        <v>0</v>
      </c>
      <c r="Z113" s="27"/>
      <c r="AA113" s="17"/>
      <c r="AB113" s="26" t="n">
        <f aca="false">IF(Z113="",0,IF(AA113="",SUMIF($B$5:$B$220,"="&amp;Z113,$X$5:$X$220),SUMIFS($X$5:$X$220, $B$5:$B$220, "="&amp;Z113, $C$5:$C$220,"="&amp;AA113)))</f>
        <v>0</v>
      </c>
      <c r="AD113" s="29"/>
      <c r="AF113" s="17"/>
      <c r="AG113" s="26" t="n">
        <f aca="false">IF(AF113="",0,SUMIF($AD$5:$AD$220,"="&amp;AF113,$X$5:$X$220))</f>
        <v>0</v>
      </c>
      <c r="AI113" s="20"/>
      <c r="AJ113" s="26" t="n">
        <f aca="false">AI113*V113</f>
        <v>0</v>
      </c>
      <c r="AK113" s="30" t="n">
        <f aca="false">IF(X113&gt;0,IF(AJ113&gt;=0,AJ113-X113,0),0)</f>
        <v>0</v>
      </c>
      <c r="AM113" s="17" t="n">
        <f aca="false">AF113</f>
        <v>0</v>
      </c>
      <c r="AN113" s="26" t="str">
        <f aca="false">IF(AM113="","",SUMIF($AD$5:$AD$220,"="&amp;AM113,$AJ$5:$AJ$220))</f>
        <v/>
      </c>
      <c r="AO113" s="26" t="e">
        <f aca="false">IF(AG113&gt;=0,IF(AN113&gt;=0,AG113-AN113,0),0)</f>
        <v>#VALUE!</v>
      </c>
      <c r="AQ113" s="27" t="n">
        <f aca="false">Z113</f>
        <v>0</v>
      </c>
      <c r="AR113" s="17" t="n">
        <f aca="false">AA113</f>
        <v>0</v>
      </c>
      <c r="AS113" s="26" t="str">
        <f aca="false">IF(AQ113="","",IF(AR113="",SUMIF($B$5:$B$220,"="&amp;AQ113,$AJ$5:$AJ$220),SUMIFS($AJ$5:$AJ$220, $B$5:$B$220, "="&amp;AQ113, $C$5:$C$220,"="&amp;AR113)))</f>
        <v/>
      </c>
      <c r="AT113" s="31" t="str">
        <f aca="false">IF(AU113&gt;0,"anular",IF(AU113&lt;0,"reforçar","nenhuma"))</f>
        <v>nenhuma</v>
      </c>
      <c r="AU113" s="26" t="n">
        <f aca="false">IF(AB113&gt;0,IF(AS113&gt;=0,AB113-AS113,0),0)</f>
        <v>0</v>
      </c>
    </row>
    <row r="114" customFormat="false" ht="15" hidden="false" customHeight="false" outlineLevel="0" collapsed="false">
      <c r="A114" s="15" t="n">
        <v>110</v>
      </c>
      <c r="B114" s="17"/>
      <c r="C114" s="17"/>
      <c r="D114" s="17"/>
      <c r="E114" s="17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R114" s="21" t="n">
        <f aca="false">IF(SUM(F114:P114)&gt;0,ROUND(AVERAGE(F114:P114),4),0)</f>
        <v>0</v>
      </c>
      <c r="T114" s="22" t="n">
        <v>0</v>
      </c>
      <c r="U114" s="39"/>
      <c r="V114" s="29"/>
      <c r="W114" s="39"/>
      <c r="X114" s="26" t="n">
        <f aca="false">IF(T114&gt;0,T114,R114)*V114</f>
        <v>0</v>
      </c>
      <c r="Z114" s="27"/>
      <c r="AA114" s="17"/>
      <c r="AB114" s="26" t="n">
        <f aca="false">IF(Z114="",0,IF(AA114="",SUMIF($B$5:$B$220,"="&amp;Z114,$X$5:$X$220),SUMIFS($X$5:$X$220, $B$5:$B$220, "="&amp;Z114, $C$5:$C$220,"="&amp;AA114)))</f>
        <v>0</v>
      </c>
      <c r="AD114" s="29"/>
      <c r="AF114" s="17"/>
      <c r="AG114" s="26" t="n">
        <f aca="false">IF(AF114="",0,SUMIF($AD$5:$AD$220,"="&amp;AF114,$X$5:$X$220))</f>
        <v>0</v>
      </c>
      <c r="AI114" s="20"/>
      <c r="AJ114" s="26" t="n">
        <f aca="false">AI114*V114</f>
        <v>0</v>
      </c>
      <c r="AK114" s="30" t="n">
        <f aca="false">IF(X114&gt;0,IF(AJ114&gt;=0,AJ114-X114,0),0)</f>
        <v>0</v>
      </c>
      <c r="AM114" s="17" t="n">
        <f aca="false">AF114</f>
        <v>0</v>
      </c>
      <c r="AN114" s="26" t="str">
        <f aca="false">IF(AM114="","",SUMIF($AD$5:$AD$220,"="&amp;AM114,$AJ$5:$AJ$220))</f>
        <v/>
      </c>
      <c r="AO114" s="26" t="e">
        <f aca="false">IF(AG114&gt;=0,IF(AN114&gt;=0,AG114-AN114,0),0)</f>
        <v>#VALUE!</v>
      </c>
      <c r="AQ114" s="27" t="n">
        <f aca="false">Z114</f>
        <v>0</v>
      </c>
      <c r="AR114" s="17" t="n">
        <f aca="false">AA114</f>
        <v>0</v>
      </c>
      <c r="AS114" s="26" t="str">
        <f aca="false">IF(AQ114="","",IF(AR114="",SUMIF($B$5:$B$220,"="&amp;AQ114,$AJ$5:$AJ$220),SUMIFS($AJ$5:$AJ$220, $B$5:$B$220, "="&amp;AQ114, $C$5:$C$220,"="&amp;AR114)))</f>
        <v/>
      </c>
      <c r="AT114" s="31" t="str">
        <f aca="false">IF(AU114&gt;0,"anular",IF(AU114&lt;0,"reforçar","nenhuma"))</f>
        <v>nenhuma</v>
      </c>
      <c r="AU114" s="26" t="n">
        <f aca="false">IF(AB114&gt;0,IF(AS114&gt;=0,AB114-AS114,0),0)</f>
        <v>0</v>
      </c>
    </row>
    <row r="115" customFormat="false" ht="15" hidden="false" customHeight="false" outlineLevel="0" collapsed="false">
      <c r="A115" s="15" t="n">
        <v>111</v>
      </c>
      <c r="B115" s="17"/>
      <c r="C115" s="17"/>
      <c r="D115" s="17"/>
      <c r="E115" s="17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R115" s="21" t="n">
        <f aca="false">IF(SUM(F115:P115)&gt;0,ROUND(AVERAGE(F115:P115),4),0)</f>
        <v>0</v>
      </c>
      <c r="T115" s="22" t="n">
        <v>0</v>
      </c>
      <c r="U115" s="39"/>
      <c r="V115" s="29"/>
      <c r="W115" s="39"/>
      <c r="X115" s="26" t="n">
        <f aca="false">IF(T115&gt;0,T115,R115)*V115</f>
        <v>0</v>
      </c>
      <c r="Z115" s="27"/>
      <c r="AA115" s="17"/>
      <c r="AB115" s="26" t="n">
        <f aca="false">IF(Z115="",0,IF(AA115="",SUMIF($B$5:$B$220,"="&amp;Z115,$X$5:$X$220),SUMIFS($X$5:$X$220, $B$5:$B$220, "="&amp;Z115, $C$5:$C$220,"="&amp;AA115)))</f>
        <v>0</v>
      </c>
      <c r="AD115" s="29"/>
      <c r="AF115" s="17"/>
      <c r="AG115" s="26" t="n">
        <f aca="false">IF(AF115="",0,SUMIF($AD$5:$AD$220,"="&amp;AF115,$X$5:$X$220))</f>
        <v>0</v>
      </c>
      <c r="AI115" s="20"/>
      <c r="AJ115" s="26" t="n">
        <f aca="false">AI115*V115</f>
        <v>0</v>
      </c>
      <c r="AK115" s="30" t="n">
        <f aca="false">IF(X115&gt;0,IF(AJ115&gt;=0,AJ115-X115,0),0)</f>
        <v>0</v>
      </c>
      <c r="AM115" s="17" t="n">
        <f aca="false">AF115</f>
        <v>0</v>
      </c>
      <c r="AN115" s="26" t="str">
        <f aca="false">IF(AM115="","",SUMIF($AD$5:$AD$220,"="&amp;AM115,$AJ$5:$AJ$220))</f>
        <v/>
      </c>
      <c r="AO115" s="26" t="e">
        <f aca="false">IF(AG115&gt;=0,IF(AN115&gt;=0,AG115-AN115,0),0)</f>
        <v>#VALUE!</v>
      </c>
      <c r="AQ115" s="27" t="n">
        <f aca="false">Z115</f>
        <v>0</v>
      </c>
      <c r="AR115" s="17" t="n">
        <f aca="false">AA115</f>
        <v>0</v>
      </c>
      <c r="AS115" s="26" t="str">
        <f aca="false">IF(AQ115="","",IF(AR115="",SUMIF($B$5:$B$220,"="&amp;AQ115,$AJ$5:$AJ$220),SUMIFS($AJ$5:$AJ$220, $B$5:$B$220, "="&amp;AQ115, $C$5:$C$220,"="&amp;AR115)))</f>
        <v/>
      </c>
      <c r="AT115" s="31" t="str">
        <f aca="false">IF(AU115&gt;0,"anular",IF(AU115&lt;0,"reforçar","nenhuma"))</f>
        <v>nenhuma</v>
      </c>
      <c r="AU115" s="26" t="n">
        <f aca="false">IF(AB115&gt;0,IF(AS115&gt;=0,AB115-AS115,0),0)</f>
        <v>0</v>
      </c>
    </row>
    <row r="116" customFormat="false" ht="15" hidden="false" customHeight="false" outlineLevel="0" collapsed="false">
      <c r="A116" s="15" t="n">
        <v>112</v>
      </c>
      <c r="B116" s="17"/>
      <c r="C116" s="17"/>
      <c r="D116" s="17"/>
      <c r="E116" s="17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R116" s="21" t="n">
        <f aca="false">IF(SUM(F116:P116)&gt;0,ROUND(AVERAGE(F116:P116),4),0)</f>
        <v>0</v>
      </c>
      <c r="T116" s="22" t="n">
        <v>0</v>
      </c>
      <c r="U116" s="39"/>
      <c r="V116" s="29"/>
      <c r="W116" s="39"/>
      <c r="X116" s="26" t="n">
        <f aca="false">IF(T116&gt;0,T116,R116)*V116</f>
        <v>0</v>
      </c>
      <c r="Z116" s="27"/>
      <c r="AA116" s="17"/>
      <c r="AB116" s="26" t="n">
        <f aca="false">IF(Z116="",0,IF(AA116="",SUMIF($B$5:$B$220,"="&amp;Z116,$X$5:$X$220),SUMIFS($X$5:$X$220, $B$5:$B$220, "="&amp;Z116, $C$5:$C$220,"="&amp;AA116)))</f>
        <v>0</v>
      </c>
      <c r="AD116" s="29"/>
      <c r="AF116" s="17"/>
      <c r="AG116" s="26" t="n">
        <f aca="false">IF(AF116="",0,SUMIF($AD$5:$AD$220,"="&amp;AF116,$X$5:$X$220))</f>
        <v>0</v>
      </c>
      <c r="AI116" s="20"/>
      <c r="AJ116" s="26" t="n">
        <f aca="false">AI116*V116</f>
        <v>0</v>
      </c>
      <c r="AK116" s="30" t="n">
        <f aca="false">IF(X116&gt;0,IF(AJ116&gt;=0,AJ116-X116,0),0)</f>
        <v>0</v>
      </c>
      <c r="AM116" s="17" t="n">
        <f aca="false">AF116</f>
        <v>0</v>
      </c>
      <c r="AN116" s="26" t="str">
        <f aca="false">IF(AM116="","",SUMIF($AD$5:$AD$220,"="&amp;AM116,$AJ$5:$AJ$220))</f>
        <v/>
      </c>
      <c r="AO116" s="26" t="e">
        <f aca="false">IF(AG116&gt;=0,IF(AN116&gt;=0,AG116-AN116,0),0)</f>
        <v>#VALUE!</v>
      </c>
      <c r="AQ116" s="27" t="n">
        <f aca="false">Z116</f>
        <v>0</v>
      </c>
      <c r="AR116" s="17" t="n">
        <f aca="false">AA116</f>
        <v>0</v>
      </c>
      <c r="AS116" s="26" t="str">
        <f aca="false">IF(AQ116="","",IF(AR116="",SUMIF($B$5:$B$220,"="&amp;AQ116,$AJ$5:$AJ$220),SUMIFS($AJ$5:$AJ$220, $B$5:$B$220, "="&amp;AQ116, $C$5:$C$220,"="&amp;AR116)))</f>
        <v/>
      </c>
      <c r="AT116" s="31" t="str">
        <f aca="false">IF(AU116&gt;0,"anular",IF(AU116&lt;0,"reforçar","nenhuma"))</f>
        <v>nenhuma</v>
      </c>
      <c r="AU116" s="26" t="n">
        <f aca="false">IF(AB116&gt;0,IF(AS116&gt;=0,AB116-AS116,0),0)</f>
        <v>0</v>
      </c>
    </row>
    <row r="117" customFormat="false" ht="15" hidden="false" customHeight="false" outlineLevel="0" collapsed="false">
      <c r="A117" s="15" t="n">
        <v>113</v>
      </c>
      <c r="B117" s="17"/>
      <c r="C117" s="17"/>
      <c r="D117" s="17"/>
      <c r="E117" s="17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R117" s="21" t="n">
        <f aca="false">IF(SUM(F117:P117)&gt;0,ROUND(AVERAGE(F117:P117),4),0)</f>
        <v>0</v>
      </c>
      <c r="T117" s="22" t="n">
        <v>0</v>
      </c>
      <c r="U117" s="39"/>
      <c r="V117" s="29"/>
      <c r="W117" s="39"/>
      <c r="X117" s="26" t="n">
        <f aca="false">IF(T117&gt;0,T117,R117)*V117</f>
        <v>0</v>
      </c>
      <c r="Z117" s="27"/>
      <c r="AA117" s="17"/>
      <c r="AB117" s="26" t="n">
        <f aca="false">IF(Z117="",0,IF(AA117="",SUMIF($B$5:$B$220,"="&amp;Z117,$X$5:$X$220),SUMIFS($X$5:$X$220, $B$5:$B$220, "="&amp;Z117, $C$5:$C$220,"="&amp;AA117)))</f>
        <v>0</v>
      </c>
      <c r="AD117" s="29"/>
      <c r="AF117" s="17"/>
      <c r="AG117" s="26" t="n">
        <f aca="false">IF(AF117="",0,SUMIF($AD$5:$AD$220,"="&amp;AF117,$X$5:$X$220))</f>
        <v>0</v>
      </c>
      <c r="AI117" s="20"/>
      <c r="AJ117" s="26" t="n">
        <f aca="false">AI117*V117</f>
        <v>0</v>
      </c>
      <c r="AK117" s="30" t="n">
        <f aca="false">IF(X117&gt;0,IF(AJ117&gt;=0,AJ117-X117,0),0)</f>
        <v>0</v>
      </c>
      <c r="AM117" s="17" t="n">
        <f aca="false">AF117</f>
        <v>0</v>
      </c>
      <c r="AN117" s="26" t="str">
        <f aca="false">IF(AM117="","",SUMIF($AD$5:$AD$220,"="&amp;AM117,$AJ$5:$AJ$220))</f>
        <v/>
      </c>
      <c r="AO117" s="26" t="e">
        <f aca="false">IF(AG117&gt;=0,IF(AN117&gt;=0,AG117-AN117,0),0)</f>
        <v>#VALUE!</v>
      </c>
      <c r="AQ117" s="27" t="n">
        <f aca="false">Z117</f>
        <v>0</v>
      </c>
      <c r="AR117" s="17" t="n">
        <f aca="false">AA117</f>
        <v>0</v>
      </c>
      <c r="AS117" s="26" t="str">
        <f aca="false">IF(AQ117="","",IF(AR117="",SUMIF($B$5:$B$220,"="&amp;AQ117,$AJ$5:$AJ$220),SUMIFS($AJ$5:$AJ$220, $B$5:$B$220, "="&amp;AQ117, $C$5:$C$220,"="&amp;AR117)))</f>
        <v/>
      </c>
      <c r="AT117" s="31" t="str">
        <f aca="false">IF(AU117&gt;0,"anular",IF(AU117&lt;0,"reforçar","nenhuma"))</f>
        <v>nenhuma</v>
      </c>
      <c r="AU117" s="26" t="n">
        <f aca="false">IF(AB117&gt;0,IF(AS117&gt;=0,AB117-AS117,0),0)</f>
        <v>0</v>
      </c>
    </row>
    <row r="118" customFormat="false" ht="15" hidden="false" customHeight="false" outlineLevel="0" collapsed="false">
      <c r="A118" s="15" t="n">
        <v>114</v>
      </c>
      <c r="B118" s="17"/>
      <c r="C118" s="17"/>
      <c r="D118" s="17"/>
      <c r="E118" s="17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R118" s="21" t="n">
        <f aca="false">IF(SUM(F118:P118)&gt;0,ROUND(AVERAGE(F118:P118),4),0)</f>
        <v>0</v>
      </c>
      <c r="T118" s="22" t="n">
        <v>0</v>
      </c>
      <c r="V118" s="29"/>
      <c r="X118" s="26" t="n">
        <f aca="false">IF(T118&gt;0,T118,R118)*V118</f>
        <v>0</v>
      </c>
      <c r="Z118" s="27"/>
      <c r="AA118" s="17"/>
      <c r="AB118" s="26" t="n">
        <f aca="false">IF(Z118="",0,IF(AA118="",SUMIF($B$5:$B$220,"="&amp;Z118,$X$5:$X$220),SUMIFS($X$5:$X$220, $B$5:$B$220, "="&amp;Z118, $C$5:$C$220,"="&amp;AA118)))</f>
        <v>0</v>
      </c>
      <c r="AD118" s="29"/>
      <c r="AF118" s="17"/>
      <c r="AG118" s="26" t="n">
        <f aca="false">IF(AF118="",0,SUMIF($AD$5:$AD$220,"="&amp;AF118,$X$5:$X$220))</f>
        <v>0</v>
      </c>
      <c r="AI118" s="20"/>
      <c r="AJ118" s="26" t="n">
        <f aca="false">AI118*V118</f>
        <v>0</v>
      </c>
      <c r="AK118" s="30" t="n">
        <f aca="false">IF(X118&gt;0,IF(AJ118&gt;=0,AJ118-X118,0),0)</f>
        <v>0</v>
      </c>
      <c r="AM118" s="17" t="n">
        <f aca="false">AF118</f>
        <v>0</v>
      </c>
      <c r="AN118" s="26" t="str">
        <f aca="false">IF(AM118="","",SUMIF($AD$5:$AD$220,"="&amp;AM118,$AJ$5:$AJ$220))</f>
        <v/>
      </c>
      <c r="AO118" s="26" t="e">
        <f aca="false">IF(AG118&gt;=0,IF(AN118&gt;=0,AG118-AN118,0),0)</f>
        <v>#VALUE!</v>
      </c>
      <c r="AQ118" s="27" t="n">
        <f aca="false">Z118</f>
        <v>0</v>
      </c>
      <c r="AR118" s="17" t="n">
        <f aca="false">AA118</f>
        <v>0</v>
      </c>
      <c r="AS118" s="26" t="str">
        <f aca="false">IF(AQ118="","",IF(AR118="",SUMIF($B$5:$B$220,"="&amp;AQ118,$AJ$5:$AJ$220),SUMIFS($AJ$5:$AJ$220, $B$5:$B$220, "="&amp;AQ118, $C$5:$C$220,"="&amp;AR118)))</f>
        <v/>
      </c>
      <c r="AT118" s="31" t="str">
        <f aca="false">IF(AU118&gt;0,"anular",IF(AU118&lt;0,"reforçar","nenhuma"))</f>
        <v>nenhuma</v>
      </c>
      <c r="AU118" s="26" t="n">
        <f aca="false">IF(AB118&gt;0,IF(AS118&gt;=0,AB118-AS118,0),0)</f>
        <v>0</v>
      </c>
    </row>
    <row r="119" customFormat="false" ht="15" hidden="false" customHeight="false" outlineLevel="0" collapsed="false">
      <c r="A119" s="15" t="n">
        <v>115</v>
      </c>
      <c r="B119" s="17"/>
      <c r="C119" s="17"/>
      <c r="D119" s="17"/>
      <c r="E119" s="17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R119" s="21" t="n">
        <f aca="false">IF(SUM(F119:P119)&gt;0,ROUND(AVERAGE(F119:P119),4),0)</f>
        <v>0</v>
      </c>
      <c r="T119" s="22" t="n">
        <v>0</v>
      </c>
      <c r="V119" s="29"/>
      <c r="X119" s="26" t="n">
        <f aca="false">IF(T119&gt;0,T119,R119)*V119</f>
        <v>0</v>
      </c>
      <c r="Z119" s="27"/>
      <c r="AA119" s="17"/>
      <c r="AB119" s="26" t="n">
        <f aca="false">IF(Z119="",0,IF(AA119="",SUMIF($B$5:$B$220,"="&amp;Z119,$X$5:$X$220),SUMIFS($X$5:$X$220, $B$5:$B$220, "="&amp;Z119, $C$5:$C$220,"="&amp;AA119)))</f>
        <v>0</v>
      </c>
      <c r="AD119" s="29"/>
      <c r="AF119" s="17"/>
      <c r="AG119" s="26" t="n">
        <f aca="false">IF(AF119="",0,SUMIF($AD$5:$AD$220,"="&amp;AF119,$X$5:$X$220))</f>
        <v>0</v>
      </c>
      <c r="AI119" s="20"/>
      <c r="AJ119" s="26" t="n">
        <f aca="false">AI119*V119</f>
        <v>0</v>
      </c>
      <c r="AK119" s="30" t="n">
        <f aca="false">IF(X119&gt;0,IF(AJ119&gt;=0,AJ119-X119,0),0)</f>
        <v>0</v>
      </c>
      <c r="AM119" s="17" t="n">
        <f aca="false">AF119</f>
        <v>0</v>
      </c>
      <c r="AN119" s="26" t="str">
        <f aca="false">IF(AM119="","",SUMIF($AD$5:$AD$220,"="&amp;AM119,$AJ$5:$AJ$220))</f>
        <v/>
      </c>
      <c r="AO119" s="26" t="e">
        <f aca="false">IF(AG119&gt;=0,IF(AN119&gt;=0,AG119-AN119,0),0)</f>
        <v>#VALUE!</v>
      </c>
      <c r="AQ119" s="27" t="n">
        <f aca="false">Z119</f>
        <v>0</v>
      </c>
      <c r="AR119" s="17" t="n">
        <f aca="false">AA119</f>
        <v>0</v>
      </c>
      <c r="AS119" s="26" t="str">
        <f aca="false">IF(AQ119="","",IF(AR119="",SUMIF($B$5:$B$220,"="&amp;AQ119,$AJ$5:$AJ$220),SUMIFS($AJ$5:$AJ$220, $B$5:$B$220, "="&amp;AQ119, $C$5:$C$220,"="&amp;AR119)))</f>
        <v/>
      </c>
      <c r="AT119" s="31" t="str">
        <f aca="false">IF(AU119&gt;0,"anular",IF(AU119&lt;0,"reforçar","nenhuma"))</f>
        <v>nenhuma</v>
      </c>
      <c r="AU119" s="26" t="n">
        <f aca="false">IF(AB119&gt;0,IF(AS119&gt;=0,AB119-AS119,0),0)</f>
        <v>0</v>
      </c>
    </row>
    <row r="120" customFormat="false" ht="15" hidden="false" customHeight="false" outlineLevel="0" collapsed="false">
      <c r="A120" s="15" t="n">
        <v>116</v>
      </c>
      <c r="B120" s="17"/>
      <c r="C120" s="17"/>
      <c r="D120" s="17"/>
      <c r="E120" s="17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R120" s="21" t="n">
        <f aca="false">IF(SUM(F120:P120)&gt;0,ROUND(AVERAGE(F120:P120),4),0)</f>
        <v>0</v>
      </c>
      <c r="T120" s="22" t="n">
        <v>0</v>
      </c>
      <c r="V120" s="29"/>
      <c r="X120" s="26" t="n">
        <f aca="false">IF(T120&gt;0,T120,R120)*V120</f>
        <v>0</v>
      </c>
      <c r="Z120" s="27"/>
      <c r="AA120" s="17"/>
      <c r="AB120" s="26" t="n">
        <f aca="false">IF(Z120="",0,IF(AA120="",SUMIF($B$5:$B$220,"="&amp;Z120,$X$5:$X$220),SUMIFS($X$5:$X$220, $B$5:$B$220, "="&amp;Z120, $C$5:$C$220,"="&amp;AA120)))</f>
        <v>0</v>
      </c>
      <c r="AD120" s="29"/>
      <c r="AF120" s="17"/>
      <c r="AG120" s="26" t="n">
        <f aca="false">IF(AF120="",0,SUMIF($AD$5:$AD$220,"="&amp;AF120,$X$5:$X$220))</f>
        <v>0</v>
      </c>
      <c r="AI120" s="20"/>
      <c r="AJ120" s="26" t="n">
        <f aca="false">AI120*V120</f>
        <v>0</v>
      </c>
      <c r="AK120" s="30" t="n">
        <f aca="false">IF(X120&gt;0,IF(AJ120&gt;=0,AJ120-X120,0),0)</f>
        <v>0</v>
      </c>
      <c r="AM120" s="17" t="n">
        <f aca="false">AF120</f>
        <v>0</v>
      </c>
      <c r="AN120" s="26" t="str">
        <f aca="false">IF(AM120="","",SUMIF($AD$5:$AD$220,"="&amp;AM120,$AJ$5:$AJ$220))</f>
        <v/>
      </c>
      <c r="AO120" s="26" t="e">
        <f aca="false">IF(AG120&gt;=0,IF(AN120&gt;=0,AG120-AN120,0),0)</f>
        <v>#VALUE!</v>
      </c>
      <c r="AQ120" s="27" t="n">
        <f aca="false">Z120</f>
        <v>0</v>
      </c>
      <c r="AR120" s="17" t="n">
        <f aca="false">AA120</f>
        <v>0</v>
      </c>
      <c r="AS120" s="26" t="str">
        <f aca="false">IF(AQ120="","",IF(AR120="",SUMIF($B$5:$B$220,"="&amp;AQ120,$AJ$5:$AJ$220),SUMIFS($AJ$5:$AJ$220, $B$5:$B$220, "="&amp;AQ120, $C$5:$C$220,"="&amp;AR120)))</f>
        <v/>
      </c>
      <c r="AT120" s="31" t="str">
        <f aca="false">IF(AU120&gt;0,"anular",IF(AU120&lt;0,"reforçar","nenhuma"))</f>
        <v>nenhuma</v>
      </c>
      <c r="AU120" s="26" t="n">
        <f aca="false">IF(AB120&gt;0,IF(AS120&gt;=0,AB120-AS120,0),0)</f>
        <v>0</v>
      </c>
    </row>
    <row r="121" customFormat="false" ht="15" hidden="false" customHeight="false" outlineLevel="0" collapsed="false">
      <c r="A121" s="15" t="n">
        <v>117</v>
      </c>
      <c r="B121" s="17"/>
      <c r="C121" s="17"/>
      <c r="D121" s="17"/>
      <c r="E121" s="17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R121" s="21" t="n">
        <f aca="false">IF(SUM(F121:P121)&gt;0,ROUND(AVERAGE(F121:P121),4),0)</f>
        <v>0</v>
      </c>
      <c r="T121" s="22" t="n">
        <v>0</v>
      </c>
      <c r="V121" s="29"/>
      <c r="X121" s="26" t="n">
        <f aca="false">IF(T121&gt;0,T121,R121)*V121</f>
        <v>0</v>
      </c>
      <c r="Z121" s="27"/>
      <c r="AA121" s="17"/>
      <c r="AB121" s="26" t="n">
        <f aca="false">IF(Z121="",0,IF(AA121="",SUMIF($B$5:$B$220,"="&amp;Z121,$X$5:$X$220),SUMIFS($X$5:$X$220, $B$5:$B$220, "="&amp;Z121, $C$5:$C$220,"="&amp;AA121)))</f>
        <v>0</v>
      </c>
      <c r="AD121" s="29"/>
      <c r="AF121" s="17"/>
      <c r="AG121" s="26" t="n">
        <f aca="false">IF(AF121="",0,SUMIF($AD$5:$AD$220,"="&amp;AF121,$X$5:$X$220))</f>
        <v>0</v>
      </c>
      <c r="AI121" s="20"/>
      <c r="AJ121" s="26" t="n">
        <f aca="false">AI121*V121</f>
        <v>0</v>
      </c>
      <c r="AK121" s="30" t="n">
        <f aca="false">IF(X121&gt;0,IF(AJ121&gt;=0,AJ121-X121,0),0)</f>
        <v>0</v>
      </c>
      <c r="AM121" s="17" t="n">
        <f aca="false">AF121</f>
        <v>0</v>
      </c>
      <c r="AN121" s="26" t="str">
        <f aca="false">IF(AM121="","",SUMIF($AD$5:$AD$220,"="&amp;AM121,$AJ$5:$AJ$220))</f>
        <v/>
      </c>
      <c r="AO121" s="26" t="e">
        <f aca="false">IF(AG121&gt;=0,IF(AN121&gt;=0,AG121-AN121,0),0)</f>
        <v>#VALUE!</v>
      </c>
      <c r="AQ121" s="27" t="n">
        <f aca="false">Z121</f>
        <v>0</v>
      </c>
      <c r="AR121" s="17" t="n">
        <f aca="false">AA121</f>
        <v>0</v>
      </c>
      <c r="AS121" s="26" t="str">
        <f aca="false">IF(AQ121="","",IF(AR121="",SUMIF($B$5:$B$220,"="&amp;AQ121,$AJ$5:$AJ$220),SUMIFS($AJ$5:$AJ$220, $B$5:$B$220, "="&amp;AQ121, $C$5:$C$220,"="&amp;AR121)))</f>
        <v/>
      </c>
      <c r="AT121" s="31" t="str">
        <f aca="false">IF(AU121&gt;0,"anular",IF(AU121&lt;0,"reforçar","nenhuma"))</f>
        <v>nenhuma</v>
      </c>
      <c r="AU121" s="26" t="n">
        <f aca="false">IF(AB121&gt;0,IF(AS121&gt;=0,AB121-AS121,0),0)</f>
        <v>0</v>
      </c>
    </row>
    <row r="122" customFormat="false" ht="15" hidden="false" customHeight="false" outlineLevel="0" collapsed="false">
      <c r="A122" s="15" t="n">
        <v>118</v>
      </c>
      <c r="B122" s="17"/>
      <c r="C122" s="17"/>
      <c r="D122" s="17"/>
      <c r="E122" s="17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R122" s="21" t="n">
        <f aca="false">IF(SUM(F122:P122)&gt;0,ROUND(AVERAGE(F122:P122),4),0)</f>
        <v>0</v>
      </c>
      <c r="T122" s="22" t="n">
        <v>0</v>
      </c>
      <c r="V122" s="29"/>
      <c r="X122" s="26" t="n">
        <f aca="false">IF(T122&gt;0,T122,R122)*V122</f>
        <v>0</v>
      </c>
      <c r="Z122" s="27"/>
      <c r="AA122" s="17"/>
      <c r="AB122" s="26" t="n">
        <f aca="false">IF(Z122="",0,IF(AA122="",SUMIF($B$5:$B$220,"="&amp;Z122,$X$5:$X$220),SUMIFS($X$5:$X$220, $B$5:$B$220, "="&amp;Z122, $C$5:$C$220,"="&amp;AA122)))</f>
        <v>0</v>
      </c>
      <c r="AD122" s="29"/>
      <c r="AF122" s="17"/>
      <c r="AG122" s="26" t="n">
        <f aca="false">IF(AF122="",0,SUMIF($AD$5:$AD$220,"="&amp;AF122,$X$5:$X$220))</f>
        <v>0</v>
      </c>
      <c r="AI122" s="20"/>
      <c r="AJ122" s="26" t="n">
        <f aca="false">AI122*V122</f>
        <v>0</v>
      </c>
      <c r="AK122" s="30" t="n">
        <f aca="false">IF(X122&gt;0,IF(AJ122&gt;=0,AJ122-X122,0),0)</f>
        <v>0</v>
      </c>
      <c r="AM122" s="17" t="n">
        <f aca="false">AF122</f>
        <v>0</v>
      </c>
      <c r="AN122" s="26" t="str">
        <f aca="false">IF(AM122="","",SUMIF($AD$5:$AD$220,"="&amp;AM122,$AJ$5:$AJ$220))</f>
        <v/>
      </c>
      <c r="AO122" s="26" t="e">
        <f aca="false">IF(AG122&gt;=0,IF(AN122&gt;=0,AG122-AN122,0),0)</f>
        <v>#VALUE!</v>
      </c>
      <c r="AQ122" s="27" t="n">
        <f aca="false">Z122</f>
        <v>0</v>
      </c>
      <c r="AR122" s="17" t="n">
        <f aca="false">AA122</f>
        <v>0</v>
      </c>
      <c r="AS122" s="26" t="str">
        <f aca="false">IF(AQ122="","",IF(AR122="",SUMIF($B$5:$B$220,"="&amp;AQ122,$AJ$5:$AJ$220),SUMIFS($AJ$5:$AJ$220, $B$5:$B$220, "="&amp;AQ122, $C$5:$C$220,"="&amp;AR122)))</f>
        <v/>
      </c>
      <c r="AT122" s="31" t="str">
        <f aca="false">IF(AU122&gt;0,"anular",IF(AU122&lt;0,"reforçar","nenhuma"))</f>
        <v>nenhuma</v>
      </c>
      <c r="AU122" s="26" t="n">
        <f aca="false">IF(AB122&gt;0,IF(AS122&gt;=0,AB122-AS122,0),0)</f>
        <v>0</v>
      </c>
    </row>
    <row r="123" customFormat="false" ht="15" hidden="false" customHeight="false" outlineLevel="0" collapsed="false">
      <c r="A123" s="15" t="n">
        <v>119</v>
      </c>
      <c r="B123" s="17"/>
      <c r="C123" s="17"/>
      <c r="D123" s="17"/>
      <c r="E123" s="17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R123" s="21" t="n">
        <f aca="false">IF(SUM(F123:P123)&gt;0,ROUND(AVERAGE(F123:P123),4),0)</f>
        <v>0</v>
      </c>
      <c r="T123" s="22" t="n">
        <v>0</v>
      </c>
      <c r="V123" s="29"/>
      <c r="X123" s="26" t="n">
        <f aca="false">IF(T123&gt;0,T123,R123)*V123</f>
        <v>0</v>
      </c>
      <c r="Z123" s="27"/>
      <c r="AA123" s="17"/>
      <c r="AB123" s="26" t="n">
        <f aca="false">IF(Z123="",0,IF(AA123="",SUMIF($B$5:$B$220,"="&amp;Z123,$X$5:$X$220),SUMIFS($X$5:$X$220, $B$5:$B$220, "="&amp;Z123, $C$5:$C$220,"="&amp;AA123)))</f>
        <v>0</v>
      </c>
      <c r="AD123" s="29"/>
      <c r="AF123" s="17"/>
      <c r="AG123" s="26" t="n">
        <f aca="false">IF(AF123="",0,SUMIF($AD$5:$AD$220,"="&amp;AF123,$X$5:$X$220))</f>
        <v>0</v>
      </c>
      <c r="AI123" s="20"/>
      <c r="AJ123" s="26" t="n">
        <f aca="false">AI123*V123</f>
        <v>0</v>
      </c>
      <c r="AK123" s="30" t="n">
        <f aca="false">IF(X123&gt;0,IF(AJ123&gt;=0,AJ123-X123,0),0)</f>
        <v>0</v>
      </c>
      <c r="AM123" s="17" t="n">
        <f aca="false">AF123</f>
        <v>0</v>
      </c>
      <c r="AN123" s="26" t="str">
        <f aca="false">IF(AM123="","",SUMIF($AD$5:$AD$220,"="&amp;AM123,$AJ$5:$AJ$220))</f>
        <v/>
      </c>
      <c r="AO123" s="26" t="e">
        <f aca="false">IF(AG123&gt;=0,IF(AN123&gt;=0,AG123-AN123,0),0)</f>
        <v>#VALUE!</v>
      </c>
      <c r="AQ123" s="27" t="n">
        <f aca="false">Z123</f>
        <v>0</v>
      </c>
      <c r="AR123" s="17" t="n">
        <f aca="false">AA123</f>
        <v>0</v>
      </c>
      <c r="AS123" s="26" t="str">
        <f aca="false">IF(AQ123="","",IF(AR123="",SUMIF($B$5:$B$220,"="&amp;AQ123,$AJ$5:$AJ$220),SUMIFS($AJ$5:$AJ$220, $B$5:$B$220, "="&amp;AQ123, $C$5:$C$220,"="&amp;AR123)))</f>
        <v/>
      </c>
      <c r="AT123" s="31" t="str">
        <f aca="false">IF(AU123&gt;0,"anular",IF(AU123&lt;0,"reforçar","nenhuma"))</f>
        <v>nenhuma</v>
      </c>
      <c r="AU123" s="26" t="n">
        <f aca="false">IF(AB123&gt;0,IF(AS123&gt;=0,AB123-AS123,0),0)</f>
        <v>0</v>
      </c>
    </row>
    <row r="124" customFormat="false" ht="15" hidden="false" customHeight="false" outlineLevel="0" collapsed="false">
      <c r="A124" s="15" t="n">
        <v>120</v>
      </c>
      <c r="B124" s="17"/>
      <c r="C124" s="17"/>
      <c r="D124" s="17"/>
      <c r="E124" s="17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R124" s="21" t="n">
        <f aca="false">IF(SUM(F124:P124)&gt;0,ROUND(AVERAGE(F124:P124),4),0)</f>
        <v>0</v>
      </c>
      <c r="T124" s="22" t="n">
        <v>0</v>
      </c>
      <c r="V124" s="29"/>
      <c r="X124" s="26" t="n">
        <f aca="false">IF(T124&gt;0,T124,R124)*V124</f>
        <v>0</v>
      </c>
      <c r="Z124" s="27"/>
      <c r="AA124" s="17"/>
      <c r="AB124" s="26" t="n">
        <f aca="false">IF(Z124="",0,IF(AA124="",SUMIF($B$5:$B$220,"="&amp;Z124,$X$5:$X$220),SUMIFS($X$5:$X$220, $B$5:$B$220, "="&amp;Z124, $C$5:$C$220,"="&amp;AA124)))</f>
        <v>0</v>
      </c>
      <c r="AD124" s="29"/>
      <c r="AF124" s="17"/>
      <c r="AG124" s="26" t="n">
        <f aca="false">IF(AF124="",0,SUMIF($AD$5:$AD$220,"="&amp;AF124,$X$5:$X$220))</f>
        <v>0</v>
      </c>
      <c r="AI124" s="20"/>
      <c r="AJ124" s="26" t="n">
        <f aca="false">AI124*V124</f>
        <v>0</v>
      </c>
      <c r="AK124" s="30" t="n">
        <f aca="false">IF(X124&gt;0,IF(AJ124&gt;=0,AJ124-X124,0),0)</f>
        <v>0</v>
      </c>
      <c r="AM124" s="17" t="n">
        <f aca="false">AF124</f>
        <v>0</v>
      </c>
      <c r="AN124" s="26" t="str">
        <f aca="false">IF(AM124="","",SUMIF($AD$5:$AD$220,"="&amp;AM124,$AJ$5:$AJ$220))</f>
        <v/>
      </c>
      <c r="AO124" s="26" t="e">
        <f aca="false">IF(AG124&gt;=0,IF(AN124&gt;=0,AG124-AN124,0),0)</f>
        <v>#VALUE!</v>
      </c>
      <c r="AQ124" s="27" t="n">
        <f aca="false">Z124</f>
        <v>0</v>
      </c>
      <c r="AR124" s="17" t="n">
        <f aca="false">AA124</f>
        <v>0</v>
      </c>
      <c r="AS124" s="26" t="str">
        <f aca="false">IF(AQ124="","",IF(AR124="",SUMIF($B$5:$B$220,"="&amp;AQ124,$AJ$5:$AJ$220),SUMIFS($AJ$5:$AJ$220, $B$5:$B$220, "="&amp;AQ124, $C$5:$C$220,"="&amp;AR124)))</f>
        <v/>
      </c>
      <c r="AT124" s="31" t="str">
        <f aca="false">IF(AU124&gt;0,"anular",IF(AU124&lt;0,"reforçar","nenhuma"))</f>
        <v>nenhuma</v>
      </c>
      <c r="AU124" s="26" t="n">
        <f aca="false">IF(AB124&gt;0,IF(AS124&gt;=0,AB124-AS124,0),0)</f>
        <v>0</v>
      </c>
    </row>
    <row r="125" customFormat="false" ht="15" hidden="false" customHeight="false" outlineLevel="0" collapsed="false">
      <c r="A125" s="15" t="n">
        <v>121</v>
      </c>
      <c r="B125" s="17"/>
      <c r="C125" s="17"/>
      <c r="D125" s="17"/>
      <c r="E125" s="17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R125" s="21" t="n">
        <f aca="false">IF(SUM(F125:P125)&gt;0,ROUND(AVERAGE(F125:P125),4),0)</f>
        <v>0</v>
      </c>
      <c r="T125" s="22" t="n">
        <v>0</v>
      </c>
      <c r="V125" s="29"/>
      <c r="X125" s="26" t="n">
        <f aca="false">IF(T125&gt;0,T125,R125)*V125</f>
        <v>0</v>
      </c>
      <c r="Z125" s="27"/>
      <c r="AA125" s="17"/>
      <c r="AB125" s="26" t="n">
        <f aca="false">IF(Z125="",0,IF(AA125="",SUMIF($B$5:$B$220,"="&amp;Z125,$X$5:$X$220),SUMIFS($X$5:$X$220, $B$5:$B$220, "="&amp;Z125, $C$5:$C$220,"="&amp;AA125)))</f>
        <v>0</v>
      </c>
      <c r="AD125" s="29"/>
      <c r="AF125" s="17"/>
      <c r="AG125" s="26" t="n">
        <f aca="false">IF(AF125="",0,SUMIF($AD$5:$AD$220,"="&amp;AF125,$X$5:$X$220))</f>
        <v>0</v>
      </c>
      <c r="AI125" s="20"/>
      <c r="AJ125" s="26" t="n">
        <f aca="false">AI125*V125</f>
        <v>0</v>
      </c>
      <c r="AK125" s="30" t="n">
        <f aca="false">IF(X125&gt;0,IF(AJ125&gt;=0,AJ125-X125,0),0)</f>
        <v>0</v>
      </c>
      <c r="AM125" s="17" t="n">
        <f aca="false">AF125</f>
        <v>0</v>
      </c>
      <c r="AN125" s="26" t="str">
        <f aca="false">IF(AM125="","",SUMIF($AD$5:$AD$220,"="&amp;AM125,$AJ$5:$AJ$220))</f>
        <v/>
      </c>
      <c r="AO125" s="26" t="e">
        <f aca="false">IF(AG125&gt;=0,IF(AN125&gt;=0,AG125-AN125,0),0)</f>
        <v>#VALUE!</v>
      </c>
      <c r="AQ125" s="27" t="n">
        <f aca="false">Z125</f>
        <v>0</v>
      </c>
      <c r="AR125" s="17" t="n">
        <f aca="false">AA125</f>
        <v>0</v>
      </c>
      <c r="AS125" s="26" t="str">
        <f aca="false">IF(AQ125="","",IF(AR125="",SUMIF($B$5:$B$220,"="&amp;AQ125,$AJ$5:$AJ$220),SUMIFS($AJ$5:$AJ$220, $B$5:$B$220, "="&amp;AQ125, $C$5:$C$220,"="&amp;AR125)))</f>
        <v/>
      </c>
      <c r="AT125" s="31" t="str">
        <f aca="false">IF(AU125&gt;0,"anular",IF(AU125&lt;0,"reforçar","nenhuma"))</f>
        <v>nenhuma</v>
      </c>
      <c r="AU125" s="26" t="n">
        <f aca="false">IF(AB125&gt;0,IF(AS125&gt;=0,AB125-AS125,0),0)</f>
        <v>0</v>
      </c>
    </row>
    <row r="126" customFormat="false" ht="15" hidden="false" customHeight="false" outlineLevel="0" collapsed="false">
      <c r="A126" s="15" t="n">
        <v>122</v>
      </c>
      <c r="B126" s="17"/>
      <c r="C126" s="17"/>
      <c r="D126" s="17"/>
      <c r="E126" s="17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R126" s="21" t="n">
        <f aca="false">IF(SUM(F126:P126)&gt;0,ROUND(AVERAGE(F126:P126),4),0)</f>
        <v>0</v>
      </c>
      <c r="T126" s="22" t="n">
        <v>0</v>
      </c>
      <c r="V126" s="29"/>
      <c r="X126" s="26" t="n">
        <f aca="false">IF(T126&gt;0,T126,R126)*V126</f>
        <v>0</v>
      </c>
      <c r="Z126" s="27"/>
      <c r="AA126" s="17"/>
      <c r="AB126" s="26" t="n">
        <f aca="false">IF(Z126="",0,IF(AA126="",SUMIF($B$5:$B$220,"="&amp;Z126,$X$5:$X$220),SUMIFS($X$5:$X$220, $B$5:$B$220, "="&amp;Z126, $C$5:$C$220,"="&amp;AA126)))</f>
        <v>0</v>
      </c>
      <c r="AD126" s="29"/>
      <c r="AF126" s="17"/>
      <c r="AG126" s="26" t="n">
        <f aca="false">IF(AF126="",0,SUMIF($AD$5:$AD$220,"="&amp;AF126,$X$5:$X$220))</f>
        <v>0</v>
      </c>
      <c r="AI126" s="20"/>
      <c r="AJ126" s="26" t="n">
        <f aca="false">AI126*V126</f>
        <v>0</v>
      </c>
      <c r="AK126" s="30" t="n">
        <f aca="false">IF(X126&gt;0,IF(AJ126&gt;=0,AJ126-X126,0),0)</f>
        <v>0</v>
      </c>
      <c r="AM126" s="17" t="n">
        <f aca="false">AF126</f>
        <v>0</v>
      </c>
      <c r="AN126" s="26" t="str">
        <f aca="false">IF(AM126="","",SUMIF($AD$5:$AD$220,"="&amp;AM126,$AJ$5:$AJ$220))</f>
        <v/>
      </c>
      <c r="AO126" s="26" t="e">
        <f aca="false">IF(AG126&gt;=0,IF(AN126&gt;=0,AG126-AN126,0),0)</f>
        <v>#VALUE!</v>
      </c>
      <c r="AQ126" s="27" t="n">
        <f aca="false">Z126</f>
        <v>0</v>
      </c>
      <c r="AR126" s="17" t="n">
        <f aca="false">AA126</f>
        <v>0</v>
      </c>
      <c r="AS126" s="26" t="str">
        <f aca="false">IF(AQ126="","",IF(AR126="",SUMIF($B$5:$B$220,"="&amp;AQ126,$AJ$5:$AJ$220),SUMIFS($AJ$5:$AJ$220, $B$5:$B$220, "="&amp;AQ126, $C$5:$C$220,"="&amp;AR126)))</f>
        <v/>
      </c>
      <c r="AT126" s="31" t="str">
        <f aca="false">IF(AU126&gt;0,"anular",IF(AU126&lt;0,"reforçar","nenhuma"))</f>
        <v>nenhuma</v>
      </c>
      <c r="AU126" s="26" t="n">
        <f aca="false">IF(AB126&gt;0,IF(AS126&gt;=0,AB126-AS126,0),0)</f>
        <v>0</v>
      </c>
    </row>
    <row r="127" customFormat="false" ht="15" hidden="false" customHeight="false" outlineLevel="0" collapsed="false">
      <c r="A127" s="15" t="n">
        <v>123</v>
      </c>
      <c r="B127" s="17"/>
      <c r="C127" s="17"/>
      <c r="D127" s="17"/>
      <c r="E127" s="17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R127" s="21" t="n">
        <f aca="false">IF(SUM(F127:P127)&gt;0,ROUND(AVERAGE(F127:P127),4),0)</f>
        <v>0</v>
      </c>
      <c r="T127" s="22" t="n">
        <v>0</v>
      </c>
      <c r="V127" s="29"/>
      <c r="X127" s="26" t="n">
        <f aca="false">IF(T127&gt;0,T127,R127)*V127</f>
        <v>0</v>
      </c>
      <c r="Z127" s="27"/>
      <c r="AA127" s="17"/>
      <c r="AB127" s="26" t="n">
        <f aca="false">IF(Z127="",0,IF(AA127="",SUMIF($B$5:$B$220,"="&amp;Z127,$X$5:$X$220),SUMIFS($X$5:$X$220, $B$5:$B$220, "="&amp;Z127, $C$5:$C$220,"="&amp;AA127)))</f>
        <v>0</v>
      </c>
      <c r="AD127" s="29"/>
      <c r="AF127" s="17"/>
      <c r="AG127" s="26" t="n">
        <f aca="false">IF(AF127="",0,SUMIF($AD$5:$AD$220,"="&amp;AF127,$X$5:$X$220))</f>
        <v>0</v>
      </c>
      <c r="AI127" s="20"/>
      <c r="AJ127" s="26" t="n">
        <f aca="false">AI127*V127</f>
        <v>0</v>
      </c>
      <c r="AK127" s="30" t="n">
        <f aca="false">IF(X127&gt;0,IF(AJ127&gt;=0,AJ127-X127,0),0)</f>
        <v>0</v>
      </c>
      <c r="AM127" s="17" t="n">
        <f aca="false">AF127</f>
        <v>0</v>
      </c>
      <c r="AN127" s="26" t="str">
        <f aca="false">IF(AM127="","",SUMIF($AD$5:$AD$220,"="&amp;AM127,$AJ$5:$AJ$220))</f>
        <v/>
      </c>
      <c r="AO127" s="26" t="e">
        <f aca="false">IF(AG127&gt;=0,IF(AN127&gt;=0,AG127-AN127,0),0)</f>
        <v>#VALUE!</v>
      </c>
      <c r="AQ127" s="27" t="n">
        <f aca="false">Z127</f>
        <v>0</v>
      </c>
      <c r="AR127" s="17" t="n">
        <f aca="false">AA127</f>
        <v>0</v>
      </c>
      <c r="AS127" s="26" t="str">
        <f aca="false">IF(AQ127="","",IF(AR127="",SUMIF($B$5:$B$220,"="&amp;AQ127,$AJ$5:$AJ$220),SUMIFS($AJ$5:$AJ$220, $B$5:$B$220, "="&amp;AQ127, $C$5:$C$220,"="&amp;AR127)))</f>
        <v/>
      </c>
      <c r="AT127" s="31" t="str">
        <f aca="false">IF(AU127&gt;0,"anular",IF(AU127&lt;0,"reforçar","nenhuma"))</f>
        <v>nenhuma</v>
      </c>
      <c r="AU127" s="26" t="n">
        <f aca="false">IF(AB127&gt;0,IF(AS127&gt;=0,AB127-AS127,0),0)</f>
        <v>0</v>
      </c>
    </row>
    <row r="128" customFormat="false" ht="15" hidden="false" customHeight="false" outlineLevel="0" collapsed="false">
      <c r="A128" s="15" t="n">
        <v>124</v>
      </c>
      <c r="B128" s="17"/>
      <c r="C128" s="17"/>
      <c r="D128" s="17"/>
      <c r="E128" s="17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R128" s="21" t="n">
        <f aca="false">IF(SUM(F128:P128)&gt;0,ROUND(AVERAGE(F128:P128),4),0)</f>
        <v>0</v>
      </c>
      <c r="T128" s="22" t="n">
        <v>0</v>
      </c>
      <c r="V128" s="29"/>
      <c r="X128" s="26" t="n">
        <f aca="false">IF(T128&gt;0,T128,R128)*V128</f>
        <v>0</v>
      </c>
      <c r="Z128" s="27"/>
      <c r="AA128" s="17"/>
      <c r="AB128" s="26" t="n">
        <f aca="false">IF(Z128="",0,IF(AA128="",SUMIF($B$5:$B$220,"="&amp;Z128,$X$5:$X$220),SUMIFS($X$5:$X$220, $B$5:$B$220, "="&amp;Z128, $C$5:$C$220,"="&amp;AA128)))</f>
        <v>0</v>
      </c>
      <c r="AD128" s="29"/>
      <c r="AF128" s="17"/>
      <c r="AG128" s="26" t="n">
        <f aca="false">IF(AF128="",0,SUMIF($AD$5:$AD$220,"="&amp;AF128,$X$5:$X$220))</f>
        <v>0</v>
      </c>
      <c r="AI128" s="20"/>
      <c r="AJ128" s="26" t="n">
        <f aca="false">AI128*V128</f>
        <v>0</v>
      </c>
      <c r="AK128" s="30" t="n">
        <f aca="false">IF(X128&gt;0,IF(AJ128&gt;=0,AJ128-X128,0),0)</f>
        <v>0</v>
      </c>
      <c r="AM128" s="17" t="n">
        <f aca="false">AF128</f>
        <v>0</v>
      </c>
      <c r="AN128" s="26" t="str">
        <f aca="false">IF(AM128="","",SUMIF($AD$5:$AD$220,"="&amp;AM128,$AJ$5:$AJ$220))</f>
        <v/>
      </c>
      <c r="AO128" s="26" t="e">
        <f aca="false">IF(AG128&gt;=0,IF(AN128&gt;=0,AG128-AN128,0),0)</f>
        <v>#VALUE!</v>
      </c>
      <c r="AQ128" s="27" t="n">
        <f aca="false">Z128</f>
        <v>0</v>
      </c>
      <c r="AR128" s="17" t="n">
        <f aca="false">AA128</f>
        <v>0</v>
      </c>
      <c r="AS128" s="26" t="str">
        <f aca="false">IF(AQ128="","",IF(AR128="",SUMIF($B$5:$B$220,"="&amp;AQ128,$AJ$5:$AJ$220),SUMIFS($AJ$5:$AJ$220, $B$5:$B$220, "="&amp;AQ128, $C$5:$C$220,"="&amp;AR128)))</f>
        <v/>
      </c>
      <c r="AT128" s="31" t="str">
        <f aca="false">IF(AU128&gt;0,"anular",IF(AU128&lt;0,"reforçar","nenhuma"))</f>
        <v>nenhuma</v>
      </c>
      <c r="AU128" s="26" t="n">
        <f aca="false">IF(AB128&gt;0,IF(AS128&gt;=0,AB128-AS128,0),0)</f>
        <v>0</v>
      </c>
    </row>
    <row r="129" customFormat="false" ht="15" hidden="false" customHeight="false" outlineLevel="0" collapsed="false">
      <c r="A129" s="15" t="n">
        <v>125</v>
      </c>
      <c r="B129" s="17"/>
      <c r="C129" s="17"/>
      <c r="D129" s="17"/>
      <c r="E129" s="17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R129" s="21" t="n">
        <f aca="false">IF(SUM(F129:P129)&gt;0,ROUND(AVERAGE(F129:P129),4),0)</f>
        <v>0</v>
      </c>
      <c r="T129" s="22" t="n">
        <v>0</v>
      </c>
      <c r="V129" s="29"/>
      <c r="X129" s="26" t="n">
        <f aca="false">IF(T129&gt;0,T129,R129)*V129</f>
        <v>0</v>
      </c>
      <c r="Z129" s="27"/>
      <c r="AA129" s="17"/>
      <c r="AB129" s="26" t="n">
        <f aca="false">IF(Z129="",0,IF(AA129="",SUMIF($B$5:$B$220,"="&amp;Z129,$X$5:$X$220),SUMIFS($X$5:$X$220, $B$5:$B$220, "="&amp;Z129, $C$5:$C$220,"="&amp;AA129)))</f>
        <v>0</v>
      </c>
      <c r="AD129" s="29"/>
      <c r="AF129" s="17"/>
      <c r="AG129" s="26" t="n">
        <f aca="false">IF(AF129="",0,SUMIF($AD$5:$AD$220,"="&amp;AF129,$X$5:$X$220))</f>
        <v>0</v>
      </c>
      <c r="AI129" s="20"/>
      <c r="AJ129" s="26" t="n">
        <f aca="false">AI129*V129</f>
        <v>0</v>
      </c>
      <c r="AK129" s="30" t="n">
        <f aca="false">IF(X129&gt;0,IF(AJ129&gt;=0,AJ129-X129,0),0)</f>
        <v>0</v>
      </c>
      <c r="AM129" s="17" t="n">
        <f aca="false">AF129</f>
        <v>0</v>
      </c>
      <c r="AN129" s="26" t="str">
        <f aca="false">IF(AM129="","",SUMIF($AD$5:$AD$220,"="&amp;AM129,$AJ$5:$AJ$220))</f>
        <v/>
      </c>
      <c r="AO129" s="26" t="e">
        <f aca="false">IF(AG129&gt;=0,IF(AN129&gt;=0,AG129-AN129,0),0)</f>
        <v>#VALUE!</v>
      </c>
      <c r="AQ129" s="27" t="n">
        <f aca="false">Z129</f>
        <v>0</v>
      </c>
      <c r="AR129" s="17" t="n">
        <f aca="false">AA129</f>
        <v>0</v>
      </c>
      <c r="AS129" s="26" t="str">
        <f aca="false">IF(AQ129="","",IF(AR129="",SUMIF($B$5:$B$220,"="&amp;AQ129,$AJ$5:$AJ$220),SUMIFS($AJ$5:$AJ$220, $B$5:$B$220, "="&amp;AQ129, $C$5:$C$220,"="&amp;AR129)))</f>
        <v/>
      </c>
      <c r="AT129" s="31" t="str">
        <f aca="false">IF(AU129&gt;0,"anular",IF(AU129&lt;0,"reforçar","nenhuma"))</f>
        <v>nenhuma</v>
      </c>
      <c r="AU129" s="26" t="n">
        <f aca="false">IF(AB129&gt;0,IF(AS129&gt;=0,AB129-AS129,0),0)</f>
        <v>0</v>
      </c>
    </row>
    <row r="130" customFormat="false" ht="15" hidden="false" customHeight="false" outlineLevel="0" collapsed="false">
      <c r="A130" s="15" t="n">
        <v>126</v>
      </c>
      <c r="B130" s="17"/>
      <c r="C130" s="17"/>
      <c r="D130" s="17"/>
      <c r="E130" s="17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R130" s="21" t="n">
        <f aca="false">IF(SUM(F130:P130)&gt;0,ROUND(AVERAGE(F130:P130),4),0)</f>
        <v>0</v>
      </c>
      <c r="T130" s="22" t="n">
        <v>0</v>
      </c>
      <c r="V130" s="29"/>
      <c r="X130" s="26" t="n">
        <f aca="false">IF(T130&gt;0,T130,R130)*V130</f>
        <v>0</v>
      </c>
      <c r="Z130" s="27"/>
      <c r="AA130" s="17"/>
      <c r="AB130" s="26" t="n">
        <f aca="false">IF(Z130="",0,IF(AA130="",SUMIF($B$5:$B$220,"="&amp;Z130,$X$5:$X$220),SUMIFS($X$5:$X$220, $B$5:$B$220, "="&amp;Z130, $C$5:$C$220,"="&amp;AA130)))</f>
        <v>0</v>
      </c>
      <c r="AD130" s="29"/>
      <c r="AF130" s="17"/>
      <c r="AG130" s="26" t="n">
        <f aca="false">IF(AF130="",0,SUMIF($AD$5:$AD$220,"="&amp;AF130,$X$5:$X$220))</f>
        <v>0</v>
      </c>
      <c r="AI130" s="20"/>
      <c r="AJ130" s="26" t="n">
        <f aca="false">AI130*V130</f>
        <v>0</v>
      </c>
      <c r="AK130" s="30" t="n">
        <f aca="false">IF(X130&gt;0,IF(AJ130&gt;=0,AJ130-X130,0),0)</f>
        <v>0</v>
      </c>
      <c r="AM130" s="17" t="n">
        <f aca="false">AF130</f>
        <v>0</v>
      </c>
      <c r="AN130" s="26" t="str">
        <f aca="false">IF(AM130="","",SUMIF($AD$5:$AD$220,"="&amp;AM130,$AJ$5:$AJ$220))</f>
        <v/>
      </c>
      <c r="AO130" s="26" t="e">
        <f aca="false">IF(AG130&gt;=0,IF(AN130&gt;=0,AG130-AN130,0),0)</f>
        <v>#VALUE!</v>
      </c>
      <c r="AQ130" s="27" t="n">
        <f aca="false">Z130</f>
        <v>0</v>
      </c>
      <c r="AR130" s="17" t="n">
        <f aca="false">AA130</f>
        <v>0</v>
      </c>
      <c r="AS130" s="26" t="str">
        <f aca="false">IF(AQ130="","",IF(AR130="",SUMIF($B$5:$B$220,"="&amp;AQ130,$AJ$5:$AJ$220),SUMIFS($AJ$5:$AJ$220, $B$5:$B$220, "="&amp;AQ130, $C$5:$C$220,"="&amp;AR130)))</f>
        <v/>
      </c>
      <c r="AT130" s="31" t="str">
        <f aca="false">IF(AU130&gt;0,"anular",IF(AU130&lt;0,"reforçar","nenhuma"))</f>
        <v>nenhuma</v>
      </c>
      <c r="AU130" s="26" t="n">
        <f aca="false">IF(AB130&gt;0,IF(AS130&gt;=0,AB130-AS130,0),0)</f>
        <v>0</v>
      </c>
    </row>
    <row r="131" customFormat="false" ht="15" hidden="false" customHeight="false" outlineLevel="0" collapsed="false">
      <c r="A131" s="15" t="n">
        <v>127</v>
      </c>
      <c r="B131" s="17"/>
      <c r="C131" s="17"/>
      <c r="D131" s="17"/>
      <c r="E131" s="17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R131" s="21" t="n">
        <f aca="false">IF(SUM(F131:P131)&gt;0,ROUND(AVERAGE(F131:P131),4),0)</f>
        <v>0</v>
      </c>
      <c r="T131" s="22" t="n">
        <v>0</v>
      </c>
      <c r="V131" s="29"/>
      <c r="X131" s="26" t="n">
        <f aca="false">IF(T131&gt;0,T131,R131)*V131</f>
        <v>0</v>
      </c>
      <c r="Z131" s="27"/>
      <c r="AA131" s="17"/>
      <c r="AB131" s="26" t="n">
        <f aca="false">IF(Z131="",0,IF(AA131="",SUMIF($B$5:$B$220,"="&amp;Z131,$X$5:$X$220),SUMIFS($X$5:$X$220, $B$5:$B$220, "="&amp;Z131, $C$5:$C$220,"="&amp;AA131)))</f>
        <v>0</v>
      </c>
      <c r="AD131" s="29"/>
      <c r="AF131" s="17"/>
      <c r="AG131" s="26" t="n">
        <f aca="false">IF(AF131="",0,SUMIF($AD$5:$AD$220,"="&amp;AF131,$X$5:$X$220))</f>
        <v>0</v>
      </c>
      <c r="AI131" s="20"/>
      <c r="AJ131" s="26" t="n">
        <f aca="false">AI131*V131</f>
        <v>0</v>
      </c>
      <c r="AK131" s="30" t="n">
        <f aca="false">IF(X131&gt;0,IF(AJ131&gt;=0,AJ131-X131,0),0)</f>
        <v>0</v>
      </c>
      <c r="AM131" s="17" t="n">
        <f aca="false">AF131</f>
        <v>0</v>
      </c>
      <c r="AN131" s="26" t="str">
        <f aca="false">IF(AM131="","",SUMIF($AD$5:$AD$220,"="&amp;AM131,$AJ$5:$AJ$220))</f>
        <v/>
      </c>
      <c r="AO131" s="26" t="e">
        <f aca="false">IF(AG131&gt;=0,IF(AN131&gt;=0,AG131-AN131,0),0)</f>
        <v>#VALUE!</v>
      </c>
      <c r="AQ131" s="27" t="n">
        <f aca="false">Z131</f>
        <v>0</v>
      </c>
      <c r="AR131" s="17" t="n">
        <f aca="false">AA131</f>
        <v>0</v>
      </c>
      <c r="AS131" s="26" t="str">
        <f aca="false">IF(AQ131="","",IF(AR131="",SUMIF($B$5:$B$220,"="&amp;AQ131,$AJ$5:$AJ$220),SUMIFS($AJ$5:$AJ$220, $B$5:$B$220, "="&amp;AQ131, $C$5:$C$220,"="&amp;AR131)))</f>
        <v/>
      </c>
      <c r="AT131" s="31" t="str">
        <f aca="false">IF(AU131&gt;0,"anular",IF(AU131&lt;0,"reforçar","nenhuma"))</f>
        <v>nenhuma</v>
      </c>
      <c r="AU131" s="26" t="n">
        <f aca="false">IF(AB131&gt;0,IF(AS131&gt;=0,AB131-AS131,0),0)</f>
        <v>0</v>
      </c>
    </row>
    <row r="132" customFormat="false" ht="15" hidden="false" customHeight="false" outlineLevel="0" collapsed="false">
      <c r="A132" s="15" t="n">
        <v>128</v>
      </c>
      <c r="B132" s="17"/>
      <c r="C132" s="17"/>
      <c r="D132" s="17"/>
      <c r="E132" s="17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R132" s="21" t="n">
        <f aca="false">IF(SUM(F132:P132)&gt;0,ROUND(AVERAGE(F132:P132),4),0)</f>
        <v>0</v>
      </c>
      <c r="T132" s="22" t="n">
        <v>0</v>
      </c>
      <c r="V132" s="29"/>
      <c r="X132" s="26" t="n">
        <f aca="false">IF(T132&gt;0,T132,R132)*V132</f>
        <v>0</v>
      </c>
      <c r="Z132" s="27"/>
      <c r="AA132" s="17"/>
      <c r="AB132" s="26" t="n">
        <f aca="false">IF(Z132="",0,IF(AA132="",SUMIF($B$5:$B$220,"="&amp;Z132,$X$5:$X$220),SUMIFS($X$5:$X$220, $B$5:$B$220, "="&amp;Z132, $C$5:$C$220,"="&amp;AA132)))</f>
        <v>0</v>
      </c>
      <c r="AD132" s="29"/>
      <c r="AF132" s="17"/>
      <c r="AG132" s="26" t="n">
        <f aca="false">IF(AF132="",0,SUMIF($AD$5:$AD$220,"="&amp;AF132,$X$5:$X$220))</f>
        <v>0</v>
      </c>
      <c r="AI132" s="20"/>
      <c r="AJ132" s="26" t="n">
        <f aca="false">AI132*V132</f>
        <v>0</v>
      </c>
      <c r="AK132" s="30" t="n">
        <f aca="false">IF(X132&gt;0,IF(AJ132&gt;=0,AJ132-X132,0),0)</f>
        <v>0</v>
      </c>
      <c r="AM132" s="17" t="n">
        <f aca="false">AF132</f>
        <v>0</v>
      </c>
      <c r="AN132" s="26" t="str">
        <f aca="false">IF(AM132="","",SUMIF($AD$5:$AD$220,"="&amp;AM132,$AJ$5:$AJ$220))</f>
        <v/>
      </c>
      <c r="AO132" s="26" t="e">
        <f aca="false">IF(AG132&gt;=0,IF(AN132&gt;=0,AG132-AN132,0),0)</f>
        <v>#VALUE!</v>
      </c>
      <c r="AQ132" s="27" t="n">
        <f aca="false">Z132</f>
        <v>0</v>
      </c>
      <c r="AR132" s="17" t="n">
        <f aca="false">AA132</f>
        <v>0</v>
      </c>
      <c r="AS132" s="26" t="str">
        <f aca="false">IF(AQ132="","",IF(AR132="",SUMIF($B$5:$B$220,"="&amp;AQ132,$AJ$5:$AJ$220),SUMIFS($AJ$5:$AJ$220, $B$5:$B$220, "="&amp;AQ132, $C$5:$C$220,"="&amp;AR132)))</f>
        <v/>
      </c>
      <c r="AT132" s="31" t="str">
        <f aca="false">IF(AU132&gt;0,"anular",IF(AU132&lt;0,"reforçar","nenhuma"))</f>
        <v>nenhuma</v>
      </c>
      <c r="AU132" s="26" t="n">
        <f aca="false">IF(AB132&gt;0,IF(AS132&gt;=0,AB132-AS132,0),0)</f>
        <v>0</v>
      </c>
    </row>
    <row r="133" customFormat="false" ht="15" hidden="false" customHeight="false" outlineLevel="0" collapsed="false">
      <c r="A133" s="15" t="n">
        <v>129</v>
      </c>
      <c r="B133" s="17"/>
      <c r="C133" s="17"/>
      <c r="D133" s="17"/>
      <c r="E133" s="17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R133" s="21" t="n">
        <f aca="false">IF(SUM(F133:P133)&gt;0,ROUND(AVERAGE(F133:P133),4),0)</f>
        <v>0</v>
      </c>
      <c r="T133" s="22" t="n">
        <v>0</v>
      </c>
      <c r="V133" s="29"/>
      <c r="X133" s="26" t="n">
        <f aca="false">IF(T133&gt;0,T133,R133)*V133</f>
        <v>0</v>
      </c>
      <c r="Z133" s="27"/>
      <c r="AA133" s="17"/>
      <c r="AB133" s="26" t="n">
        <f aca="false">IF(Z133="",0,IF(AA133="",SUMIF($B$5:$B$220,"="&amp;Z133,$X$5:$X$220),SUMIFS($X$5:$X$220, $B$5:$B$220, "="&amp;Z133, $C$5:$C$220,"="&amp;AA133)))</f>
        <v>0</v>
      </c>
      <c r="AD133" s="29"/>
      <c r="AF133" s="17"/>
      <c r="AG133" s="26" t="n">
        <f aca="false">IF(AF133="",0,SUMIF($AD$5:$AD$220,"="&amp;AF133,$X$5:$X$220))</f>
        <v>0</v>
      </c>
      <c r="AI133" s="20"/>
      <c r="AJ133" s="26" t="n">
        <f aca="false">AI133*V133</f>
        <v>0</v>
      </c>
      <c r="AK133" s="30" t="n">
        <f aca="false">IF(X133&gt;0,IF(AJ133&gt;=0,AJ133-X133,0),0)</f>
        <v>0</v>
      </c>
      <c r="AM133" s="17" t="n">
        <f aca="false">AF133</f>
        <v>0</v>
      </c>
      <c r="AN133" s="26" t="str">
        <f aca="false">IF(AM133="","",SUMIF($AD$5:$AD$220,"="&amp;AM133,$AJ$5:$AJ$220))</f>
        <v/>
      </c>
      <c r="AO133" s="26" t="e">
        <f aca="false">IF(AG133&gt;=0,IF(AN133&gt;=0,AG133-AN133,0),0)</f>
        <v>#VALUE!</v>
      </c>
      <c r="AQ133" s="27" t="n">
        <f aca="false">Z133</f>
        <v>0</v>
      </c>
      <c r="AR133" s="17" t="n">
        <f aca="false">AA133</f>
        <v>0</v>
      </c>
      <c r="AS133" s="26" t="str">
        <f aca="false">IF(AQ133="","",IF(AR133="",SUMIF($B$5:$B$220,"="&amp;AQ133,$AJ$5:$AJ$220),SUMIFS($AJ$5:$AJ$220, $B$5:$B$220, "="&amp;AQ133, $C$5:$C$220,"="&amp;AR133)))</f>
        <v/>
      </c>
      <c r="AT133" s="31" t="str">
        <f aca="false">IF(AU133&gt;0,"anular",IF(AU133&lt;0,"reforçar","nenhuma"))</f>
        <v>nenhuma</v>
      </c>
      <c r="AU133" s="26" t="n">
        <f aca="false">IF(AB133&gt;0,IF(AS133&gt;=0,AB133-AS133,0),0)</f>
        <v>0</v>
      </c>
    </row>
    <row r="134" customFormat="false" ht="15" hidden="false" customHeight="false" outlineLevel="0" collapsed="false">
      <c r="A134" s="15" t="n">
        <v>130</v>
      </c>
      <c r="B134" s="17"/>
      <c r="C134" s="17"/>
      <c r="D134" s="17"/>
      <c r="E134" s="17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R134" s="21" t="n">
        <f aca="false">IF(SUM(F134:P134)&gt;0,ROUND(AVERAGE(F134:P134),4),0)</f>
        <v>0</v>
      </c>
      <c r="T134" s="22" t="n">
        <v>0</v>
      </c>
      <c r="V134" s="29"/>
      <c r="X134" s="26" t="n">
        <f aca="false">IF(T134&gt;0,T134,R134)*V134</f>
        <v>0</v>
      </c>
      <c r="Z134" s="27"/>
      <c r="AA134" s="17"/>
      <c r="AB134" s="26" t="n">
        <f aca="false">IF(Z134="",0,IF(AA134="",SUMIF($B$5:$B$220,"="&amp;Z134,$X$5:$X$220),SUMIFS($X$5:$X$220, $B$5:$B$220, "="&amp;Z134, $C$5:$C$220,"="&amp;AA134)))</f>
        <v>0</v>
      </c>
      <c r="AD134" s="29"/>
      <c r="AF134" s="17"/>
      <c r="AG134" s="26" t="n">
        <f aca="false">IF(AF134="",0,SUMIF($AD$5:$AD$220,"="&amp;AF134,$X$5:$X$220))</f>
        <v>0</v>
      </c>
      <c r="AI134" s="20"/>
      <c r="AJ134" s="26" t="n">
        <f aca="false">AI134*V134</f>
        <v>0</v>
      </c>
      <c r="AK134" s="30" t="n">
        <f aca="false">IF(X134&gt;0,IF(AJ134&gt;=0,AJ134-X134,0),0)</f>
        <v>0</v>
      </c>
      <c r="AM134" s="17" t="n">
        <f aca="false">AF134</f>
        <v>0</v>
      </c>
      <c r="AN134" s="26" t="str">
        <f aca="false">IF(AM134="","",SUMIF($AD$5:$AD$220,"="&amp;AM134,$AJ$5:$AJ$220))</f>
        <v/>
      </c>
      <c r="AO134" s="26" t="e">
        <f aca="false">IF(AG134&gt;=0,IF(AN134&gt;=0,AG134-AN134,0),0)</f>
        <v>#VALUE!</v>
      </c>
      <c r="AQ134" s="27" t="n">
        <f aca="false">Z134</f>
        <v>0</v>
      </c>
      <c r="AR134" s="17" t="n">
        <f aca="false">AA134</f>
        <v>0</v>
      </c>
      <c r="AS134" s="26" t="str">
        <f aca="false">IF(AQ134="","",IF(AR134="",SUMIF($B$5:$B$220,"="&amp;AQ134,$AJ$5:$AJ$220),SUMIFS($AJ$5:$AJ$220, $B$5:$B$220, "="&amp;AQ134, $C$5:$C$220,"="&amp;AR134)))</f>
        <v/>
      </c>
      <c r="AT134" s="31" t="str">
        <f aca="false">IF(AU134&gt;0,"anular",IF(AU134&lt;0,"reforçar","nenhuma"))</f>
        <v>nenhuma</v>
      </c>
      <c r="AU134" s="26" t="n">
        <f aca="false">IF(AB134&gt;0,IF(AS134&gt;=0,AB134-AS134,0),0)</f>
        <v>0</v>
      </c>
    </row>
    <row r="135" customFormat="false" ht="15" hidden="false" customHeight="false" outlineLevel="0" collapsed="false">
      <c r="A135" s="15" t="n">
        <v>131</v>
      </c>
      <c r="B135" s="17"/>
      <c r="C135" s="17"/>
      <c r="D135" s="17"/>
      <c r="E135" s="17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R135" s="21" t="n">
        <f aca="false">IF(SUM(F135:P135)&gt;0,ROUND(AVERAGE(F135:P135),4),0)</f>
        <v>0</v>
      </c>
      <c r="T135" s="22" t="n">
        <v>0</v>
      </c>
      <c r="V135" s="29"/>
      <c r="X135" s="26" t="n">
        <f aca="false">IF(T135&gt;0,T135,R135)*V135</f>
        <v>0</v>
      </c>
      <c r="Z135" s="27"/>
      <c r="AA135" s="17"/>
      <c r="AB135" s="26" t="n">
        <f aca="false">IF(Z135="",0,IF(AA135="",SUMIF($B$5:$B$220,"="&amp;Z135,$X$5:$X$220),SUMIFS($X$5:$X$220, $B$5:$B$220, "="&amp;Z135, $C$5:$C$220,"="&amp;AA135)))</f>
        <v>0</v>
      </c>
      <c r="AD135" s="29"/>
      <c r="AF135" s="17"/>
      <c r="AG135" s="26" t="n">
        <f aca="false">IF(AF135="",0,SUMIF($AD$5:$AD$220,"="&amp;AF135,$X$5:$X$220))</f>
        <v>0</v>
      </c>
      <c r="AI135" s="20"/>
      <c r="AJ135" s="26" t="n">
        <f aca="false">AI135*V135</f>
        <v>0</v>
      </c>
      <c r="AK135" s="30" t="n">
        <f aca="false">IF(X135&gt;0,IF(AJ135&gt;=0,AJ135-X135,0),0)</f>
        <v>0</v>
      </c>
      <c r="AM135" s="17" t="n">
        <f aca="false">AF135</f>
        <v>0</v>
      </c>
      <c r="AN135" s="26" t="str">
        <f aca="false">IF(AM135="","",SUMIF($AD$5:$AD$220,"="&amp;AM135,$AJ$5:$AJ$220))</f>
        <v/>
      </c>
      <c r="AO135" s="26" t="e">
        <f aca="false">IF(AG135&gt;=0,IF(AN135&gt;=0,AG135-AN135,0),0)</f>
        <v>#VALUE!</v>
      </c>
      <c r="AQ135" s="27" t="n">
        <f aca="false">Z135</f>
        <v>0</v>
      </c>
      <c r="AR135" s="17" t="n">
        <f aca="false">AA135</f>
        <v>0</v>
      </c>
      <c r="AS135" s="26" t="str">
        <f aca="false">IF(AQ135="","",IF(AR135="",SUMIF($B$5:$B$220,"="&amp;AQ135,$AJ$5:$AJ$220),SUMIFS($AJ$5:$AJ$220, $B$5:$B$220, "="&amp;AQ135, $C$5:$C$220,"="&amp;AR135)))</f>
        <v/>
      </c>
      <c r="AT135" s="31" t="str">
        <f aca="false">IF(AU135&gt;0,"anular",IF(AU135&lt;0,"reforçar","nenhuma"))</f>
        <v>nenhuma</v>
      </c>
      <c r="AU135" s="26" t="n">
        <f aca="false">IF(AB135&gt;0,IF(AS135&gt;=0,AB135-AS135,0),0)</f>
        <v>0</v>
      </c>
    </row>
    <row r="136" customFormat="false" ht="15" hidden="false" customHeight="false" outlineLevel="0" collapsed="false">
      <c r="A136" s="15" t="n">
        <v>132</v>
      </c>
      <c r="B136" s="17"/>
      <c r="C136" s="17"/>
      <c r="D136" s="17"/>
      <c r="E136" s="17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R136" s="21" t="n">
        <f aca="false">IF(SUM(F136:P136)&gt;0,ROUND(AVERAGE(F136:P136),4),0)</f>
        <v>0</v>
      </c>
      <c r="T136" s="22" t="n">
        <v>0</v>
      </c>
      <c r="V136" s="29"/>
      <c r="X136" s="26" t="n">
        <f aca="false">IF(T136&gt;0,T136,R136)*V136</f>
        <v>0</v>
      </c>
      <c r="Z136" s="27"/>
      <c r="AA136" s="17"/>
      <c r="AB136" s="26" t="n">
        <f aca="false">IF(Z136="",0,IF(AA136="",SUMIF($B$5:$B$220,"="&amp;Z136,$X$5:$X$220),SUMIFS($X$5:$X$220, $B$5:$B$220, "="&amp;Z136, $C$5:$C$220,"="&amp;AA136)))</f>
        <v>0</v>
      </c>
      <c r="AD136" s="29"/>
      <c r="AF136" s="17"/>
      <c r="AG136" s="26" t="n">
        <f aca="false">IF(AF136="",0,SUMIF($AD$5:$AD$220,"="&amp;AF136,$X$5:$X$220))</f>
        <v>0</v>
      </c>
      <c r="AI136" s="20"/>
      <c r="AJ136" s="26" t="n">
        <f aca="false">AI136*V136</f>
        <v>0</v>
      </c>
      <c r="AK136" s="30" t="n">
        <f aca="false">IF(X136&gt;0,IF(AJ136&gt;=0,AJ136-X136,0),0)</f>
        <v>0</v>
      </c>
      <c r="AM136" s="17" t="n">
        <f aca="false">AF136</f>
        <v>0</v>
      </c>
      <c r="AN136" s="26" t="str">
        <f aca="false">IF(AM136="","",SUMIF($AD$5:$AD$220,"="&amp;AM136,$AJ$5:$AJ$220))</f>
        <v/>
      </c>
      <c r="AO136" s="26" t="e">
        <f aca="false">IF(AG136&gt;=0,IF(AN136&gt;=0,AG136-AN136,0),0)</f>
        <v>#VALUE!</v>
      </c>
      <c r="AQ136" s="27" t="n">
        <f aca="false">Z136</f>
        <v>0</v>
      </c>
      <c r="AR136" s="17" t="n">
        <f aca="false">AA136</f>
        <v>0</v>
      </c>
      <c r="AS136" s="26" t="str">
        <f aca="false">IF(AQ136="","",IF(AR136="",SUMIF($B$5:$B$220,"="&amp;AQ136,$AJ$5:$AJ$220),SUMIFS($AJ$5:$AJ$220, $B$5:$B$220, "="&amp;AQ136, $C$5:$C$220,"="&amp;AR136)))</f>
        <v/>
      </c>
      <c r="AT136" s="31" t="str">
        <f aca="false">IF(AU136&gt;0,"anular",IF(AU136&lt;0,"reforçar","nenhuma"))</f>
        <v>nenhuma</v>
      </c>
      <c r="AU136" s="26" t="n">
        <f aca="false">IF(AB136&gt;0,IF(AS136&gt;=0,AB136-AS136,0),0)</f>
        <v>0</v>
      </c>
    </row>
    <row r="137" customFormat="false" ht="15" hidden="false" customHeight="false" outlineLevel="0" collapsed="false">
      <c r="A137" s="15" t="n">
        <v>133</v>
      </c>
      <c r="B137" s="17"/>
      <c r="C137" s="17"/>
      <c r="D137" s="17"/>
      <c r="E137" s="17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R137" s="21" t="n">
        <f aca="false">IF(SUM(F137:P137)&gt;0,ROUND(AVERAGE(F137:P137),4),0)</f>
        <v>0</v>
      </c>
      <c r="T137" s="22" t="n">
        <v>0</v>
      </c>
      <c r="V137" s="29"/>
      <c r="X137" s="26" t="n">
        <f aca="false">IF(T137&gt;0,T137,R137)*V137</f>
        <v>0</v>
      </c>
      <c r="Z137" s="27"/>
      <c r="AA137" s="17"/>
      <c r="AB137" s="26" t="n">
        <f aca="false">IF(Z137="",0,IF(AA137="",SUMIF($B$5:$B$220,"="&amp;Z137,$X$5:$X$220),SUMIFS($X$5:$X$220, $B$5:$B$220, "="&amp;Z137, $C$5:$C$220,"="&amp;AA137)))</f>
        <v>0</v>
      </c>
      <c r="AD137" s="29"/>
      <c r="AF137" s="17"/>
      <c r="AG137" s="26" t="n">
        <f aca="false">IF(AF137="",0,SUMIF($AD$5:$AD$220,"="&amp;AF137,$X$5:$X$220))</f>
        <v>0</v>
      </c>
      <c r="AI137" s="20"/>
      <c r="AJ137" s="26" t="n">
        <f aca="false">AI137*V137</f>
        <v>0</v>
      </c>
      <c r="AK137" s="30" t="n">
        <f aca="false">IF(X137&gt;0,IF(AJ137&gt;=0,AJ137-X137,0),0)</f>
        <v>0</v>
      </c>
      <c r="AM137" s="17" t="n">
        <f aca="false">AF137</f>
        <v>0</v>
      </c>
      <c r="AN137" s="26" t="str">
        <f aca="false">IF(AM137="","",SUMIF($AD$5:$AD$220,"="&amp;AM137,$AJ$5:$AJ$220))</f>
        <v/>
      </c>
      <c r="AO137" s="26" t="e">
        <f aca="false">IF(AG137&gt;=0,IF(AN137&gt;=0,AG137-AN137,0),0)</f>
        <v>#VALUE!</v>
      </c>
      <c r="AQ137" s="27" t="n">
        <f aca="false">Z137</f>
        <v>0</v>
      </c>
      <c r="AR137" s="17" t="n">
        <f aca="false">AA137</f>
        <v>0</v>
      </c>
      <c r="AS137" s="26" t="str">
        <f aca="false">IF(AQ137="","",IF(AR137="",SUMIF($B$5:$B$220,"="&amp;AQ137,$AJ$5:$AJ$220),SUMIFS($AJ$5:$AJ$220, $B$5:$B$220, "="&amp;AQ137, $C$5:$C$220,"="&amp;AR137)))</f>
        <v/>
      </c>
      <c r="AT137" s="31" t="str">
        <f aca="false">IF(AU137&gt;0,"anular",IF(AU137&lt;0,"reforçar","nenhuma"))</f>
        <v>nenhuma</v>
      </c>
      <c r="AU137" s="26" t="n">
        <f aca="false">IF(AB137&gt;0,IF(AS137&gt;=0,AB137-AS137,0),0)</f>
        <v>0</v>
      </c>
    </row>
    <row r="138" customFormat="false" ht="15" hidden="false" customHeight="false" outlineLevel="0" collapsed="false">
      <c r="A138" s="15" t="n">
        <v>134</v>
      </c>
      <c r="B138" s="17"/>
      <c r="C138" s="17"/>
      <c r="D138" s="17"/>
      <c r="E138" s="17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R138" s="21" t="n">
        <f aca="false">IF(SUM(F138:P138)&gt;0,ROUND(AVERAGE(F138:P138),4),0)</f>
        <v>0</v>
      </c>
      <c r="T138" s="22" t="n">
        <v>0</v>
      </c>
      <c r="V138" s="29"/>
      <c r="X138" s="26" t="n">
        <f aca="false">IF(T138&gt;0,T138,R138)*V138</f>
        <v>0</v>
      </c>
      <c r="Z138" s="27"/>
      <c r="AA138" s="17"/>
      <c r="AB138" s="26" t="n">
        <f aca="false">IF(Z138="",0,IF(AA138="",SUMIF($B$5:$B$220,"="&amp;Z138,$X$5:$X$220),SUMIFS($X$5:$X$220, $B$5:$B$220, "="&amp;Z138, $C$5:$C$220,"="&amp;AA138)))</f>
        <v>0</v>
      </c>
      <c r="AD138" s="29"/>
      <c r="AF138" s="17"/>
      <c r="AG138" s="26" t="n">
        <f aca="false">IF(AF138="",0,SUMIF($AD$5:$AD$220,"="&amp;AF138,$X$5:$X$220))</f>
        <v>0</v>
      </c>
      <c r="AI138" s="20"/>
      <c r="AJ138" s="26" t="n">
        <f aca="false">AI138*V138</f>
        <v>0</v>
      </c>
      <c r="AK138" s="30" t="n">
        <f aca="false">IF(X138&gt;0,IF(AJ138&gt;=0,AJ138-X138,0),0)</f>
        <v>0</v>
      </c>
      <c r="AM138" s="17" t="n">
        <f aca="false">AF138</f>
        <v>0</v>
      </c>
      <c r="AN138" s="26" t="str">
        <f aca="false">IF(AM138="","",SUMIF($AD$5:$AD$220,"="&amp;AM138,$AJ$5:$AJ$220))</f>
        <v/>
      </c>
      <c r="AO138" s="26" t="e">
        <f aca="false">IF(AG138&gt;=0,IF(AN138&gt;=0,AG138-AN138,0),0)</f>
        <v>#VALUE!</v>
      </c>
      <c r="AQ138" s="27" t="n">
        <f aca="false">Z138</f>
        <v>0</v>
      </c>
      <c r="AR138" s="17" t="n">
        <f aca="false">AA138</f>
        <v>0</v>
      </c>
      <c r="AS138" s="26" t="str">
        <f aca="false">IF(AQ138="","",IF(AR138="",SUMIF($B$5:$B$220,"="&amp;AQ138,$AJ$5:$AJ$220),SUMIFS($AJ$5:$AJ$220, $B$5:$B$220, "="&amp;AQ138, $C$5:$C$220,"="&amp;AR138)))</f>
        <v/>
      </c>
      <c r="AT138" s="31" t="str">
        <f aca="false">IF(AU138&gt;0,"anular",IF(AU138&lt;0,"reforçar","nenhuma"))</f>
        <v>nenhuma</v>
      </c>
      <c r="AU138" s="26" t="n">
        <f aca="false">IF(AB138&gt;0,IF(AS138&gt;=0,AB138-AS138,0),0)</f>
        <v>0</v>
      </c>
    </row>
    <row r="139" customFormat="false" ht="15" hidden="false" customHeight="false" outlineLevel="0" collapsed="false">
      <c r="A139" s="15" t="n">
        <v>135</v>
      </c>
      <c r="B139" s="17"/>
      <c r="C139" s="17"/>
      <c r="D139" s="17"/>
      <c r="E139" s="17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R139" s="21" t="n">
        <f aca="false">IF(SUM(F139:P139)&gt;0,ROUND(AVERAGE(F139:P139),4),0)</f>
        <v>0</v>
      </c>
      <c r="T139" s="22" t="n">
        <v>0</v>
      </c>
      <c r="V139" s="29"/>
      <c r="X139" s="26" t="n">
        <f aca="false">IF(T139&gt;0,T139,R139)*V139</f>
        <v>0</v>
      </c>
      <c r="Z139" s="27"/>
      <c r="AA139" s="17"/>
      <c r="AB139" s="26" t="n">
        <f aca="false">IF(Z139="",0,IF(AA139="",SUMIF($B$5:$B$220,"="&amp;Z139,$X$5:$X$220),SUMIFS($X$5:$X$220, $B$5:$B$220, "="&amp;Z139, $C$5:$C$220,"="&amp;AA139)))</f>
        <v>0</v>
      </c>
      <c r="AD139" s="29"/>
      <c r="AF139" s="17"/>
      <c r="AG139" s="26" t="n">
        <f aca="false">IF(AF139="",0,SUMIF($AD$5:$AD$220,"="&amp;AF139,$X$5:$X$220))</f>
        <v>0</v>
      </c>
      <c r="AI139" s="20"/>
      <c r="AJ139" s="26" t="n">
        <f aca="false">AI139*V139</f>
        <v>0</v>
      </c>
      <c r="AK139" s="30" t="n">
        <f aca="false">IF(X139&gt;0,IF(AJ139&gt;=0,AJ139-X139,0),0)</f>
        <v>0</v>
      </c>
      <c r="AM139" s="17" t="n">
        <f aca="false">AF139</f>
        <v>0</v>
      </c>
      <c r="AN139" s="26" t="str">
        <f aca="false">IF(AM139="","",SUMIF($AD$5:$AD$220,"="&amp;AM139,$AJ$5:$AJ$220))</f>
        <v/>
      </c>
      <c r="AO139" s="26" t="e">
        <f aca="false">IF(AG139&gt;=0,IF(AN139&gt;=0,AG139-AN139,0),0)</f>
        <v>#VALUE!</v>
      </c>
      <c r="AQ139" s="27" t="n">
        <f aca="false">Z139</f>
        <v>0</v>
      </c>
      <c r="AR139" s="17" t="n">
        <f aca="false">AA139</f>
        <v>0</v>
      </c>
      <c r="AS139" s="26" t="str">
        <f aca="false">IF(AQ139="","",IF(AR139="",SUMIF($B$5:$B$220,"="&amp;AQ139,$AJ$5:$AJ$220),SUMIFS($AJ$5:$AJ$220, $B$5:$B$220, "="&amp;AQ139, $C$5:$C$220,"="&amp;AR139)))</f>
        <v/>
      </c>
      <c r="AT139" s="31" t="str">
        <f aca="false">IF(AU139&gt;0,"anular",IF(AU139&lt;0,"reforçar","nenhuma"))</f>
        <v>nenhuma</v>
      </c>
      <c r="AU139" s="26" t="n">
        <f aca="false">IF(AB139&gt;0,IF(AS139&gt;=0,AB139-AS139,0),0)</f>
        <v>0</v>
      </c>
    </row>
    <row r="140" customFormat="false" ht="15" hidden="false" customHeight="false" outlineLevel="0" collapsed="false">
      <c r="A140" s="15" t="n">
        <v>136</v>
      </c>
      <c r="B140" s="17"/>
      <c r="C140" s="17"/>
      <c r="D140" s="17"/>
      <c r="E140" s="17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R140" s="21" t="n">
        <f aca="false">IF(SUM(F140:P140)&gt;0,ROUND(AVERAGE(F140:P140),4),0)</f>
        <v>0</v>
      </c>
      <c r="T140" s="22" t="n">
        <v>0</v>
      </c>
      <c r="V140" s="29"/>
      <c r="X140" s="26" t="n">
        <f aca="false">IF(T140&gt;0,T140,R140)*V140</f>
        <v>0</v>
      </c>
      <c r="Z140" s="27"/>
      <c r="AA140" s="17"/>
      <c r="AB140" s="26" t="n">
        <f aca="false">IF(Z140="",0,IF(AA140="",SUMIF($B$5:$B$220,"="&amp;Z140,$X$5:$X$220),SUMIFS($X$5:$X$220, $B$5:$B$220, "="&amp;Z140, $C$5:$C$220,"="&amp;AA140)))</f>
        <v>0</v>
      </c>
      <c r="AD140" s="29"/>
      <c r="AF140" s="17"/>
      <c r="AG140" s="26" t="n">
        <f aca="false">IF(AF140="",0,SUMIF($AD$5:$AD$220,"="&amp;AF140,$X$5:$X$220))</f>
        <v>0</v>
      </c>
      <c r="AI140" s="20"/>
      <c r="AJ140" s="26" t="n">
        <f aca="false">AI140*V140</f>
        <v>0</v>
      </c>
      <c r="AK140" s="30" t="n">
        <f aca="false">IF(X140&gt;0,IF(AJ140&gt;=0,AJ140-X140,0),0)</f>
        <v>0</v>
      </c>
      <c r="AM140" s="17" t="n">
        <f aca="false">AF140</f>
        <v>0</v>
      </c>
      <c r="AN140" s="26" t="str">
        <f aca="false">IF(AM140="","",SUMIF($AD$5:$AD$220,"="&amp;AM140,$AJ$5:$AJ$220))</f>
        <v/>
      </c>
      <c r="AO140" s="26" t="e">
        <f aca="false">IF(AG140&gt;=0,IF(AN140&gt;=0,AG140-AN140,0),0)</f>
        <v>#VALUE!</v>
      </c>
      <c r="AQ140" s="27" t="n">
        <f aca="false">Z140</f>
        <v>0</v>
      </c>
      <c r="AR140" s="17" t="n">
        <f aca="false">AA140</f>
        <v>0</v>
      </c>
      <c r="AS140" s="26" t="str">
        <f aca="false">IF(AQ140="","",IF(AR140="",SUMIF($B$5:$B$220,"="&amp;AQ140,$AJ$5:$AJ$220),SUMIFS($AJ$5:$AJ$220, $B$5:$B$220, "="&amp;AQ140, $C$5:$C$220,"="&amp;AR140)))</f>
        <v/>
      </c>
      <c r="AT140" s="31" t="str">
        <f aca="false">IF(AU140&gt;0,"anular",IF(AU140&lt;0,"reforçar","nenhuma"))</f>
        <v>nenhuma</v>
      </c>
      <c r="AU140" s="26" t="n">
        <f aca="false">IF(AB140&gt;0,IF(AS140&gt;=0,AB140-AS140,0),0)</f>
        <v>0</v>
      </c>
    </row>
    <row r="141" customFormat="false" ht="15" hidden="false" customHeight="false" outlineLevel="0" collapsed="false">
      <c r="A141" s="15" t="n">
        <v>137</v>
      </c>
      <c r="B141" s="17"/>
      <c r="C141" s="17"/>
      <c r="D141" s="17"/>
      <c r="E141" s="17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R141" s="21" t="n">
        <f aca="false">IF(SUM(F141:P141)&gt;0,ROUND(AVERAGE(F141:P141),4),0)</f>
        <v>0</v>
      </c>
      <c r="T141" s="22" t="n">
        <v>0</v>
      </c>
      <c r="V141" s="29"/>
      <c r="X141" s="26" t="n">
        <f aca="false">IF(T141&gt;0,T141,R141)*V141</f>
        <v>0</v>
      </c>
      <c r="Z141" s="27"/>
      <c r="AA141" s="17"/>
      <c r="AB141" s="26" t="n">
        <f aca="false">IF(Z141="",0,IF(AA141="",SUMIF($B$5:$B$220,"="&amp;Z141,$X$5:$X$220),SUMIFS($X$5:$X$220, $B$5:$B$220, "="&amp;Z141, $C$5:$C$220,"="&amp;AA141)))</f>
        <v>0</v>
      </c>
      <c r="AD141" s="29"/>
      <c r="AF141" s="17"/>
      <c r="AG141" s="26" t="n">
        <f aca="false">IF(AF141="",0,SUMIF($AD$5:$AD$220,"="&amp;AF141,$X$5:$X$220))</f>
        <v>0</v>
      </c>
      <c r="AI141" s="20"/>
      <c r="AJ141" s="26" t="n">
        <f aca="false">AI141*V141</f>
        <v>0</v>
      </c>
      <c r="AK141" s="30" t="n">
        <f aca="false">IF(X141&gt;0,IF(AJ141&gt;=0,AJ141-X141,0),0)</f>
        <v>0</v>
      </c>
      <c r="AM141" s="17" t="n">
        <f aca="false">AF141</f>
        <v>0</v>
      </c>
      <c r="AN141" s="26" t="str">
        <f aca="false">IF(AM141="","",SUMIF($AD$5:$AD$220,"="&amp;AM141,$AJ$5:$AJ$220))</f>
        <v/>
      </c>
      <c r="AO141" s="26" t="e">
        <f aca="false">IF(AG141&gt;=0,IF(AN141&gt;=0,AG141-AN141,0),0)</f>
        <v>#VALUE!</v>
      </c>
      <c r="AQ141" s="27" t="n">
        <f aca="false">Z141</f>
        <v>0</v>
      </c>
      <c r="AR141" s="17" t="n">
        <f aca="false">AA141</f>
        <v>0</v>
      </c>
      <c r="AS141" s="26" t="str">
        <f aca="false">IF(AQ141="","",IF(AR141="",SUMIF($B$5:$B$220,"="&amp;AQ141,$AJ$5:$AJ$220),SUMIFS($AJ$5:$AJ$220, $B$5:$B$220, "="&amp;AQ141, $C$5:$C$220,"="&amp;AR141)))</f>
        <v/>
      </c>
      <c r="AT141" s="31" t="str">
        <f aca="false">IF(AU141&gt;0,"anular",IF(AU141&lt;0,"reforçar","nenhuma"))</f>
        <v>nenhuma</v>
      </c>
      <c r="AU141" s="26" t="n">
        <f aca="false">IF(AB141&gt;0,IF(AS141&gt;=0,AB141-AS141,0),0)</f>
        <v>0</v>
      </c>
    </row>
    <row r="142" customFormat="false" ht="15" hidden="false" customHeight="false" outlineLevel="0" collapsed="false">
      <c r="A142" s="15" t="n">
        <v>138</v>
      </c>
      <c r="B142" s="17"/>
      <c r="C142" s="17"/>
      <c r="D142" s="17"/>
      <c r="E142" s="17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R142" s="21" t="n">
        <f aca="false">IF(SUM(F142:P142)&gt;0,ROUND(AVERAGE(F142:P142),4),0)</f>
        <v>0</v>
      </c>
      <c r="T142" s="22" t="n">
        <v>0</v>
      </c>
      <c r="V142" s="29"/>
      <c r="X142" s="26" t="n">
        <f aca="false">IF(T142&gt;0,T142,R142)*V142</f>
        <v>0</v>
      </c>
      <c r="Z142" s="27"/>
      <c r="AA142" s="17"/>
      <c r="AB142" s="26" t="n">
        <f aca="false">IF(Z142="",0,IF(AA142="",SUMIF($B$5:$B$220,"="&amp;Z142,$X$5:$X$220),SUMIFS($X$5:$X$220, $B$5:$B$220, "="&amp;Z142, $C$5:$C$220,"="&amp;AA142)))</f>
        <v>0</v>
      </c>
      <c r="AD142" s="29"/>
      <c r="AF142" s="17"/>
      <c r="AG142" s="26" t="n">
        <f aca="false">IF(AF142="",0,SUMIF($AD$5:$AD$220,"="&amp;AF142,$X$5:$X$220))</f>
        <v>0</v>
      </c>
      <c r="AI142" s="20"/>
      <c r="AJ142" s="26" t="n">
        <f aca="false">AI142*V142</f>
        <v>0</v>
      </c>
      <c r="AK142" s="30" t="n">
        <f aca="false">IF(X142&gt;0,IF(AJ142&gt;=0,AJ142-X142,0),0)</f>
        <v>0</v>
      </c>
      <c r="AM142" s="17" t="n">
        <f aca="false">AF142</f>
        <v>0</v>
      </c>
      <c r="AN142" s="26" t="str">
        <f aca="false">IF(AM142="","",SUMIF($AD$5:$AD$220,"="&amp;AM142,$AJ$5:$AJ$220))</f>
        <v/>
      </c>
      <c r="AO142" s="26" t="e">
        <f aca="false">IF(AG142&gt;=0,IF(AN142&gt;=0,AG142-AN142,0),0)</f>
        <v>#VALUE!</v>
      </c>
      <c r="AQ142" s="27" t="n">
        <f aca="false">Z142</f>
        <v>0</v>
      </c>
      <c r="AR142" s="17" t="n">
        <f aca="false">AA142</f>
        <v>0</v>
      </c>
      <c r="AS142" s="26" t="str">
        <f aca="false">IF(AQ142="","",IF(AR142="",SUMIF($B$5:$B$220,"="&amp;AQ142,$AJ$5:$AJ$220),SUMIFS($AJ$5:$AJ$220, $B$5:$B$220, "="&amp;AQ142, $C$5:$C$220,"="&amp;AR142)))</f>
        <v/>
      </c>
      <c r="AT142" s="31" t="str">
        <f aca="false">IF(AU142&gt;0,"anular",IF(AU142&lt;0,"reforçar","nenhuma"))</f>
        <v>nenhuma</v>
      </c>
      <c r="AU142" s="26" t="n">
        <f aca="false">IF(AB142&gt;0,IF(AS142&gt;=0,AB142-AS142,0),0)</f>
        <v>0</v>
      </c>
    </row>
    <row r="143" customFormat="false" ht="15" hidden="false" customHeight="false" outlineLevel="0" collapsed="false">
      <c r="A143" s="15" t="n">
        <v>139</v>
      </c>
      <c r="B143" s="17"/>
      <c r="C143" s="17"/>
      <c r="D143" s="17"/>
      <c r="E143" s="17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R143" s="21" t="n">
        <f aca="false">IF(SUM(F143:P143)&gt;0,ROUND(AVERAGE(F143:P143),4),0)</f>
        <v>0</v>
      </c>
      <c r="T143" s="22" t="n">
        <v>0</v>
      </c>
      <c r="V143" s="29"/>
      <c r="X143" s="26" t="n">
        <f aca="false">IF(T143&gt;0,T143,R143)*V143</f>
        <v>0</v>
      </c>
      <c r="Z143" s="27"/>
      <c r="AA143" s="17"/>
      <c r="AB143" s="26" t="n">
        <f aca="false">IF(Z143="",0,IF(AA143="",SUMIF($B$5:$B$220,"="&amp;Z143,$X$5:$X$220),SUMIFS($X$5:$X$220, $B$5:$B$220, "="&amp;Z143, $C$5:$C$220,"="&amp;AA143)))</f>
        <v>0</v>
      </c>
      <c r="AD143" s="29"/>
      <c r="AF143" s="17"/>
      <c r="AG143" s="26" t="n">
        <f aca="false">IF(AF143="",0,SUMIF($AD$5:$AD$220,"="&amp;AF143,$X$5:$X$220))</f>
        <v>0</v>
      </c>
      <c r="AI143" s="20"/>
      <c r="AJ143" s="26" t="n">
        <f aca="false">AI143*V143</f>
        <v>0</v>
      </c>
      <c r="AK143" s="30" t="n">
        <f aca="false">IF(X143&gt;0,IF(AJ143&gt;=0,AJ143-X143,0),0)</f>
        <v>0</v>
      </c>
      <c r="AM143" s="17" t="n">
        <f aca="false">AF143</f>
        <v>0</v>
      </c>
      <c r="AN143" s="26" t="str">
        <f aca="false">IF(AM143="","",SUMIF($AD$5:$AD$220,"="&amp;AM143,$AJ$5:$AJ$220))</f>
        <v/>
      </c>
      <c r="AO143" s="26" t="e">
        <f aca="false">IF(AG143&gt;=0,IF(AN143&gt;=0,AG143-AN143,0),0)</f>
        <v>#VALUE!</v>
      </c>
      <c r="AQ143" s="27" t="n">
        <f aca="false">Z143</f>
        <v>0</v>
      </c>
      <c r="AR143" s="17" t="n">
        <f aca="false">AA143</f>
        <v>0</v>
      </c>
      <c r="AS143" s="26" t="str">
        <f aca="false">IF(AQ143="","",IF(AR143="",SUMIF($B$5:$B$220,"="&amp;AQ143,$AJ$5:$AJ$220),SUMIFS($AJ$5:$AJ$220, $B$5:$B$220, "="&amp;AQ143, $C$5:$C$220,"="&amp;AR143)))</f>
        <v/>
      </c>
      <c r="AT143" s="31" t="str">
        <f aca="false">IF(AU143&gt;0,"anular",IF(AU143&lt;0,"reforçar","nenhuma"))</f>
        <v>nenhuma</v>
      </c>
      <c r="AU143" s="26" t="n">
        <f aca="false">IF(AB143&gt;0,IF(AS143&gt;=0,AB143-AS143,0),0)</f>
        <v>0</v>
      </c>
    </row>
    <row r="144" customFormat="false" ht="15" hidden="false" customHeight="false" outlineLevel="0" collapsed="false">
      <c r="A144" s="15" t="n">
        <v>140</v>
      </c>
      <c r="B144" s="17"/>
      <c r="C144" s="17"/>
      <c r="D144" s="17"/>
      <c r="E144" s="17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R144" s="21" t="n">
        <f aca="false">IF(SUM(F144:P144)&gt;0,ROUND(AVERAGE(F144:P144),4),0)</f>
        <v>0</v>
      </c>
      <c r="T144" s="22" t="n">
        <v>0</v>
      </c>
      <c r="V144" s="29"/>
      <c r="X144" s="26" t="n">
        <f aca="false">IF(T144&gt;0,T144,R144)*V144</f>
        <v>0</v>
      </c>
      <c r="Z144" s="27"/>
      <c r="AA144" s="17"/>
      <c r="AB144" s="26" t="n">
        <f aca="false">IF(Z144="",0,IF(AA144="",SUMIF($B$5:$B$220,"="&amp;Z144,$X$5:$X$220),SUMIFS($X$5:$X$220, $B$5:$B$220, "="&amp;Z144, $C$5:$C$220,"="&amp;AA144)))</f>
        <v>0</v>
      </c>
      <c r="AD144" s="29"/>
      <c r="AF144" s="17"/>
      <c r="AG144" s="26" t="n">
        <f aca="false">IF(AF144="",0,SUMIF($AD$5:$AD$220,"="&amp;AF144,$X$5:$X$220))</f>
        <v>0</v>
      </c>
      <c r="AI144" s="20"/>
      <c r="AJ144" s="26" t="n">
        <f aca="false">AI144*V144</f>
        <v>0</v>
      </c>
      <c r="AK144" s="30" t="n">
        <f aca="false">IF(X144&gt;0,IF(AJ144&gt;=0,AJ144-X144,0),0)</f>
        <v>0</v>
      </c>
      <c r="AM144" s="17" t="n">
        <f aca="false">AF144</f>
        <v>0</v>
      </c>
      <c r="AN144" s="26" t="str">
        <f aca="false">IF(AM144="","",SUMIF($AD$5:$AD$220,"="&amp;AM144,$AJ$5:$AJ$220))</f>
        <v/>
      </c>
      <c r="AO144" s="26" t="e">
        <f aca="false">IF(AG144&gt;=0,IF(AN144&gt;=0,AG144-AN144,0),0)</f>
        <v>#VALUE!</v>
      </c>
      <c r="AQ144" s="27" t="n">
        <f aca="false">Z144</f>
        <v>0</v>
      </c>
      <c r="AR144" s="17" t="n">
        <f aca="false">AA144</f>
        <v>0</v>
      </c>
      <c r="AS144" s="26" t="str">
        <f aca="false">IF(AQ144="","",IF(AR144="",SUMIF($B$5:$B$220,"="&amp;AQ144,$AJ$5:$AJ$220),SUMIFS($AJ$5:$AJ$220, $B$5:$B$220, "="&amp;AQ144, $C$5:$C$220,"="&amp;AR144)))</f>
        <v/>
      </c>
      <c r="AT144" s="31" t="str">
        <f aca="false">IF(AU144&gt;0,"anular",IF(AU144&lt;0,"reforçar","nenhuma"))</f>
        <v>nenhuma</v>
      </c>
      <c r="AU144" s="26" t="n">
        <f aca="false">IF(AB144&gt;0,IF(AS144&gt;=0,AB144-AS144,0),0)</f>
        <v>0</v>
      </c>
    </row>
    <row r="145" customFormat="false" ht="15" hidden="false" customHeight="false" outlineLevel="0" collapsed="false">
      <c r="A145" s="15" t="n">
        <v>141</v>
      </c>
      <c r="B145" s="17"/>
      <c r="C145" s="17"/>
      <c r="D145" s="17"/>
      <c r="E145" s="17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R145" s="21" t="n">
        <f aca="false">IF(SUM(F145:P145)&gt;0,ROUND(AVERAGE(F145:P145),4),0)</f>
        <v>0</v>
      </c>
      <c r="T145" s="22" t="n">
        <v>0</v>
      </c>
      <c r="V145" s="29"/>
      <c r="X145" s="26" t="n">
        <f aca="false">IF(T145&gt;0,T145,R145)*V145</f>
        <v>0</v>
      </c>
      <c r="Z145" s="27"/>
      <c r="AA145" s="17"/>
      <c r="AB145" s="26" t="n">
        <f aca="false">IF(Z145="",0,IF(AA145="",SUMIF($B$5:$B$220,"="&amp;Z145,$X$5:$X$220),SUMIFS($X$5:$X$220, $B$5:$B$220, "="&amp;Z145, $C$5:$C$220,"="&amp;AA145)))</f>
        <v>0</v>
      </c>
      <c r="AD145" s="29"/>
      <c r="AF145" s="17"/>
      <c r="AG145" s="26" t="n">
        <f aca="false">IF(AF145="",0,SUMIF($AD$5:$AD$220,"="&amp;AF145,$X$5:$X$220))</f>
        <v>0</v>
      </c>
      <c r="AI145" s="20"/>
      <c r="AJ145" s="26" t="n">
        <f aca="false">AI145*V145</f>
        <v>0</v>
      </c>
      <c r="AK145" s="30" t="n">
        <f aca="false">IF(X145&gt;0,IF(AJ145&gt;=0,AJ145-X145,0),0)</f>
        <v>0</v>
      </c>
      <c r="AM145" s="17" t="n">
        <f aca="false">AF145</f>
        <v>0</v>
      </c>
      <c r="AN145" s="26" t="str">
        <f aca="false">IF(AM145="","",SUMIF($AD$5:$AD$220,"="&amp;AM145,$AJ$5:$AJ$220))</f>
        <v/>
      </c>
      <c r="AO145" s="26" t="e">
        <f aca="false">IF(AG145&gt;=0,IF(AN145&gt;=0,AG145-AN145,0),0)</f>
        <v>#VALUE!</v>
      </c>
      <c r="AQ145" s="27" t="n">
        <f aca="false">Z145</f>
        <v>0</v>
      </c>
      <c r="AR145" s="17" t="n">
        <f aca="false">AA145</f>
        <v>0</v>
      </c>
      <c r="AS145" s="26" t="str">
        <f aca="false">IF(AQ145="","",IF(AR145="",SUMIF($B$5:$B$220,"="&amp;AQ145,$AJ$5:$AJ$220),SUMIFS($AJ$5:$AJ$220, $B$5:$B$220, "="&amp;AQ145, $C$5:$C$220,"="&amp;AR145)))</f>
        <v/>
      </c>
      <c r="AT145" s="31" t="str">
        <f aca="false">IF(AU145&gt;0,"anular",IF(AU145&lt;0,"reforçar","nenhuma"))</f>
        <v>nenhuma</v>
      </c>
      <c r="AU145" s="26" t="n">
        <f aca="false">IF(AB145&gt;0,IF(AS145&gt;=0,AB145-AS145,0),0)</f>
        <v>0</v>
      </c>
    </row>
    <row r="146" customFormat="false" ht="15" hidden="false" customHeight="false" outlineLevel="0" collapsed="false">
      <c r="A146" s="15" t="n">
        <v>142</v>
      </c>
      <c r="B146" s="17"/>
      <c r="C146" s="17"/>
      <c r="D146" s="17"/>
      <c r="E146" s="17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R146" s="21" t="n">
        <f aca="false">IF(SUM(F146:P146)&gt;0,ROUND(AVERAGE(F146:P146),4),0)</f>
        <v>0</v>
      </c>
      <c r="T146" s="22" t="n">
        <v>0</v>
      </c>
      <c r="V146" s="29"/>
      <c r="X146" s="26" t="n">
        <f aca="false">IF(T146&gt;0,T146,R146)*V146</f>
        <v>0</v>
      </c>
      <c r="Z146" s="27"/>
      <c r="AA146" s="17"/>
      <c r="AB146" s="26" t="n">
        <f aca="false">IF(Z146="",0,IF(AA146="",SUMIF($B$5:$B$220,"="&amp;Z146,$X$5:$X$220),SUMIFS($X$5:$X$220, $B$5:$B$220, "="&amp;Z146, $C$5:$C$220,"="&amp;AA146)))</f>
        <v>0</v>
      </c>
      <c r="AD146" s="29"/>
      <c r="AF146" s="17"/>
      <c r="AG146" s="26" t="n">
        <f aca="false">IF(AF146="",0,SUMIF($AD$5:$AD$220,"="&amp;AF146,$X$5:$X$220))</f>
        <v>0</v>
      </c>
      <c r="AI146" s="20"/>
      <c r="AJ146" s="26" t="n">
        <f aca="false">AI146*V146</f>
        <v>0</v>
      </c>
      <c r="AK146" s="30" t="n">
        <f aca="false">IF(X146&gt;0,IF(AJ146&gt;=0,AJ146-X146,0),0)</f>
        <v>0</v>
      </c>
      <c r="AM146" s="17" t="n">
        <f aca="false">AF146</f>
        <v>0</v>
      </c>
      <c r="AN146" s="26" t="str">
        <f aca="false">IF(AM146="","",SUMIF($AD$5:$AD$220,"="&amp;AM146,$AJ$5:$AJ$220))</f>
        <v/>
      </c>
      <c r="AO146" s="26" t="e">
        <f aca="false">IF(AG146&gt;=0,IF(AN146&gt;=0,AG146-AN146,0),0)</f>
        <v>#VALUE!</v>
      </c>
      <c r="AQ146" s="27" t="n">
        <f aca="false">Z146</f>
        <v>0</v>
      </c>
      <c r="AR146" s="17" t="n">
        <f aca="false">AA146</f>
        <v>0</v>
      </c>
      <c r="AS146" s="26" t="str">
        <f aca="false">IF(AQ146="","",IF(AR146="",SUMIF($B$5:$B$220,"="&amp;AQ146,$AJ$5:$AJ$220),SUMIFS($AJ$5:$AJ$220, $B$5:$B$220, "="&amp;AQ146, $C$5:$C$220,"="&amp;AR146)))</f>
        <v/>
      </c>
      <c r="AT146" s="31" t="str">
        <f aca="false">IF(AU146&gt;0,"anular",IF(AU146&lt;0,"reforçar","nenhuma"))</f>
        <v>nenhuma</v>
      </c>
      <c r="AU146" s="26" t="n">
        <f aca="false">IF(AB146&gt;0,IF(AS146&gt;=0,AB146-AS146,0),0)</f>
        <v>0</v>
      </c>
    </row>
    <row r="147" customFormat="false" ht="15" hidden="false" customHeight="false" outlineLevel="0" collapsed="false">
      <c r="A147" s="15" t="n">
        <v>143</v>
      </c>
      <c r="B147" s="17"/>
      <c r="C147" s="17"/>
      <c r="D147" s="17"/>
      <c r="E147" s="17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R147" s="21" t="n">
        <f aca="false">IF(SUM(F147:P147)&gt;0,ROUND(AVERAGE(F147:P147),4),0)</f>
        <v>0</v>
      </c>
      <c r="T147" s="22" t="n">
        <v>0</v>
      </c>
      <c r="V147" s="29"/>
      <c r="X147" s="26" t="n">
        <f aca="false">IF(T147&gt;0,T147,R147)*V147</f>
        <v>0</v>
      </c>
      <c r="Z147" s="27"/>
      <c r="AA147" s="17"/>
      <c r="AB147" s="26" t="n">
        <f aca="false">IF(Z147="",0,IF(AA147="",SUMIF($B$5:$B$220,"="&amp;Z147,$X$5:$X$220),SUMIFS($X$5:$X$220, $B$5:$B$220, "="&amp;Z147, $C$5:$C$220,"="&amp;AA147)))</f>
        <v>0</v>
      </c>
      <c r="AD147" s="29"/>
      <c r="AF147" s="17"/>
      <c r="AG147" s="26" t="n">
        <f aca="false">IF(AF147="",0,SUMIF($AD$5:$AD$220,"="&amp;AF147,$X$5:$X$220))</f>
        <v>0</v>
      </c>
      <c r="AI147" s="20"/>
      <c r="AJ147" s="26" t="n">
        <f aca="false">AI147*V147</f>
        <v>0</v>
      </c>
      <c r="AK147" s="30" t="n">
        <f aca="false">IF(X147&gt;0,IF(AJ147&gt;=0,AJ147-X147,0),0)</f>
        <v>0</v>
      </c>
      <c r="AM147" s="17" t="n">
        <f aca="false">AF147</f>
        <v>0</v>
      </c>
      <c r="AN147" s="26" t="str">
        <f aca="false">IF(AM147="","",SUMIF($AD$5:$AD$220,"="&amp;AM147,$AJ$5:$AJ$220))</f>
        <v/>
      </c>
      <c r="AO147" s="26" t="e">
        <f aca="false">IF(AG147&gt;=0,IF(AN147&gt;=0,AG147-AN147,0),0)</f>
        <v>#VALUE!</v>
      </c>
      <c r="AQ147" s="27" t="n">
        <f aca="false">Z147</f>
        <v>0</v>
      </c>
      <c r="AR147" s="17" t="n">
        <f aca="false">AA147</f>
        <v>0</v>
      </c>
      <c r="AS147" s="26" t="str">
        <f aca="false">IF(AQ147="","",IF(AR147="",SUMIF($B$5:$B$220,"="&amp;AQ147,$AJ$5:$AJ$220),SUMIFS($AJ$5:$AJ$220, $B$5:$B$220, "="&amp;AQ147, $C$5:$C$220,"="&amp;AR147)))</f>
        <v/>
      </c>
      <c r="AT147" s="31" t="str">
        <f aca="false">IF(AU147&gt;0,"anular",IF(AU147&lt;0,"reforçar","nenhuma"))</f>
        <v>nenhuma</v>
      </c>
      <c r="AU147" s="26" t="n">
        <f aca="false">IF(AB147&gt;0,IF(AS147&gt;=0,AB147-AS147,0),0)</f>
        <v>0</v>
      </c>
    </row>
    <row r="148" customFormat="false" ht="15" hidden="false" customHeight="false" outlineLevel="0" collapsed="false">
      <c r="A148" s="15" t="n">
        <v>144</v>
      </c>
      <c r="B148" s="17"/>
      <c r="C148" s="17"/>
      <c r="D148" s="17"/>
      <c r="E148" s="17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R148" s="21" t="n">
        <f aca="false">IF(SUM(F148:P148)&gt;0,ROUND(AVERAGE(F148:P148),4),0)</f>
        <v>0</v>
      </c>
      <c r="T148" s="22" t="n">
        <v>0</v>
      </c>
      <c r="V148" s="29"/>
      <c r="X148" s="26" t="n">
        <f aca="false">IF(T148&gt;0,T148,R148)*V148</f>
        <v>0</v>
      </c>
      <c r="Z148" s="27"/>
      <c r="AA148" s="17"/>
      <c r="AB148" s="26" t="n">
        <f aca="false">IF(Z148="",0,IF(AA148="",SUMIF($B$5:$B$220,"="&amp;Z148,$X$5:$X$220),SUMIFS($X$5:$X$220, $B$5:$B$220, "="&amp;Z148, $C$5:$C$220,"="&amp;AA148)))</f>
        <v>0</v>
      </c>
      <c r="AD148" s="29"/>
      <c r="AF148" s="17"/>
      <c r="AG148" s="26" t="n">
        <f aca="false">IF(AF148="",0,SUMIF($AD$5:$AD$220,"="&amp;AF148,$X$5:$X$220))</f>
        <v>0</v>
      </c>
      <c r="AI148" s="20"/>
      <c r="AJ148" s="26" t="n">
        <f aca="false">AI148*V148</f>
        <v>0</v>
      </c>
      <c r="AK148" s="30" t="n">
        <f aca="false">IF(X148&gt;0,IF(AJ148&gt;=0,AJ148-X148,0),0)</f>
        <v>0</v>
      </c>
      <c r="AM148" s="17" t="n">
        <f aca="false">AF148</f>
        <v>0</v>
      </c>
      <c r="AN148" s="26" t="str">
        <f aca="false">IF(AM148="","",SUMIF($AD$5:$AD$220,"="&amp;AM148,$AJ$5:$AJ$220))</f>
        <v/>
      </c>
      <c r="AO148" s="26" t="e">
        <f aca="false">IF(AG148&gt;=0,IF(AN148&gt;=0,AG148-AN148,0),0)</f>
        <v>#VALUE!</v>
      </c>
      <c r="AQ148" s="27" t="n">
        <f aca="false">Z148</f>
        <v>0</v>
      </c>
      <c r="AR148" s="17" t="n">
        <f aca="false">AA148</f>
        <v>0</v>
      </c>
      <c r="AS148" s="26" t="str">
        <f aca="false">IF(AQ148="","",IF(AR148="",SUMIF($B$5:$B$220,"="&amp;AQ148,$AJ$5:$AJ$220),SUMIFS($AJ$5:$AJ$220, $B$5:$B$220, "="&amp;AQ148, $C$5:$C$220,"="&amp;AR148)))</f>
        <v/>
      </c>
      <c r="AT148" s="31" t="str">
        <f aca="false">IF(AU148&gt;0,"anular",IF(AU148&lt;0,"reforçar","nenhuma"))</f>
        <v>nenhuma</v>
      </c>
      <c r="AU148" s="26" t="n">
        <f aca="false">IF(AB148&gt;0,IF(AS148&gt;=0,AB148-AS148,0),0)</f>
        <v>0</v>
      </c>
    </row>
    <row r="149" customFormat="false" ht="15" hidden="false" customHeight="false" outlineLevel="0" collapsed="false">
      <c r="A149" s="15" t="n">
        <v>145</v>
      </c>
      <c r="B149" s="17"/>
      <c r="C149" s="17"/>
      <c r="D149" s="17"/>
      <c r="E149" s="17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R149" s="21" t="n">
        <f aca="false">IF(SUM(F149:P149)&gt;0,ROUND(AVERAGE(F149:P149),4),0)</f>
        <v>0</v>
      </c>
      <c r="T149" s="22" t="n">
        <v>0</v>
      </c>
      <c r="V149" s="29"/>
      <c r="X149" s="26" t="n">
        <f aca="false">IF(T149&gt;0,T149,R149)*V149</f>
        <v>0</v>
      </c>
      <c r="Z149" s="27"/>
      <c r="AA149" s="17"/>
      <c r="AB149" s="26" t="n">
        <f aca="false">IF(Z149="",0,IF(AA149="",SUMIF($B$5:$B$220,"="&amp;Z149,$X$5:$X$220),SUMIFS($X$5:$X$220, $B$5:$B$220, "="&amp;Z149, $C$5:$C$220,"="&amp;AA149)))</f>
        <v>0</v>
      </c>
      <c r="AD149" s="29"/>
      <c r="AF149" s="17"/>
      <c r="AG149" s="26" t="n">
        <f aca="false">IF(AF149="",0,SUMIF($AD$5:$AD$220,"="&amp;AF149,$X$5:$X$220))</f>
        <v>0</v>
      </c>
      <c r="AI149" s="20"/>
      <c r="AJ149" s="26" t="n">
        <f aca="false">AI149*V149</f>
        <v>0</v>
      </c>
      <c r="AK149" s="30" t="n">
        <f aca="false">IF(X149&gt;0,IF(AJ149&gt;=0,AJ149-X149,0),0)</f>
        <v>0</v>
      </c>
      <c r="AM149" s="17" t="n">
        <f aca="false">AF149</f>
        <v>0</v>
      </c>
      <c r="AN149" s="26" t="str">
        <f aca="false">IF(AM149="","",SUMIF($AD$5:$AD$220,"="&amp;AM149,$AJ$5:$AJ$220))</f>
        <v/>
      </c>
      <c r="AO149" s="26" t="e">
        <f aca="false">IF(AG149&gt;=0,IF(AN149&gt;=0,AG149-AN149,0),0)</f>
        <v>#VALUE!</v>
      </c>
      <c r="AQ149" s="27" t="n">
        <f aca="false">Z149</f>
        <v>0</v>
      </c>
      <c r="AR149" s="17" t="n">
        <f aca="false">AA149</f>
        <v>0</v>
      </c>
      <c r="AS149" s="26" t="str">
        <f aca="false">IF(AQ149="","",IF(AR149="",SUMIF($B$5:$B$220,"="&amp;AQ149,$AJ$5:$AJ$220),SUMIFS($AJ$5:$AJ$220, $B$5:$B$220, "="&amp;AQ149, $C$5:$C$220,"="&amp;AR149)))</f>
        <v/>
      </c>
      <c r="AT149" s="31" t="str">
        <f aca="false">IF(AU149&gt;0,"anular",IF(AU149&lt;0,"reforçar","nenhuma"))</f>
        <v>nenhuma</v>
      </c>
      <c r="AU149" s="26" t="n">
        <f aca="false">IF(AB149&gt;0,IF(AS149&gt;=0,AB149-AS149,0),0)</f>
        <v>0</v>
      </c>
    </row>
    <row r="150" customFormat="false" ht="15" hidden="false" customHeight="false" outlineLevel="0" collapsed="false">
      <c r="A150" s="15" t="n">
        <v>146</v>
      </c>
      <c r="B150" s="17"/>
      <c r="C150" s="17"/>
      <c r="D150" s="17"/>
      <c r="E150" s="17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R150" s="21" t="n">
        <f aca="false">IF(SUM(F150:P150)&gt;0,ROUND(AVERAGE(F150:P150),4),0)</f>
        <v>0</v>
      </c>
      <c r="T150" s="22" t="n">
        <v>0</v>
      </c>
      <c r="V150" s="29"/>
      <c r="X150" s="26" t="n">
        <f aca="false">IF(T150&gt;0,T150,R150)*V150</f>
        <v>0</v>
      </c>
      <c r="Z150" s="27"/>
      <c r="AA150" s="17"/>
      <c r="AB150" s="26" t="n">
        <f aca="false">IF(Z150="",0,IF(AA150="",SUMIF($B$5:$B$220,"="&amp;Z150,$X$5:$X$220),SUMIFS($X$5:$X$220, $B$5:$B$220, "="&amp;Z150, $C$5:$C$220,"="&amp;AA150)))</f>
        <v>0</v>
      </c>
      <c r="AD150" s="29"/>
      <c r="AF150" s="17"/>
      <c r="AG150" s="26" t="n">
        <f aca="false">IF(AF150="",0,SUMIF($AD$5:$AD$220,"="&amp;AF150,$X$5:$X$220))</f>
        <v>0</v>
      </c>
      <c r="AI150" s="20"/>
      <c r="AJ150" s="26" t="n">
        <f aca="false">AI150*V150</f>
        <v>0</v>
      </c>
      <c r="AK150" s="30" t="n">
        <f aca="false">IF(X150&gt;0,IF(AJ150&gt;=0,AJ150-X150,0),0)</f>
        <v>0</v>
      </c>
      <c r="AM150" s="17" t="n">
        <f aca="false">AF150</f>
        <v>0</v>
      </c>
      <c r="AN150" s="26" t="str">
        <f aca="false">IF(AM150="","",SUMIF($AD$5:$AD$220,"="&amp;AM150,$AJ$5:$AJ$220))</f>
        <v/>
      </c>
      <c r="AO150" s="26" t="e">
        <f aca="false">IF(AG150&gt;=0,IF(AN150&gt;=0,AG150-AN150,0),0)</f>
        <v>#VALUE!</v>
      </c>
      <c r="AQ150" s="27" t="n">
        <f aca="false">Z150</f>
        <v>0</v>
      </c>
      <c r="AR150" s="17" t="n">
        <f aca="false">AA150</f>
        <v>0</v>
      </c>
      <c r="AS150" s="26" t="str">
        <f aca="false">IF(AQ150="","",IF(AR150="",SUMIF($B$5:$B$220,"="&amp;AQ150,$AJ$5:$AJ$220),SUMIFS($AJ$5:$AJ$220, $B$5:$B$220, "="&amp;AQ150, $C$5:$C$220,"="&amp;AR150)))</f>
        <v/>
      </c>
      <c r="AT150" s="31" t="str">
        <f aca="false">IF(AU150&gt;0,"anular",IF(AU150&lt;0,"reforçar","nenhuma"))</f>
        <v>nenhuma</v>
      </c>
      <c r="AU150" s="26" t="n">
        <f aca="false">IF(AB150&gt;0,IF(AS150&gt;=0,AB150-AS150,0),0)</f>
        <v>0</v>
      </c>
    </row>
    <row r="151" customFormat="false" ht="15" hidden="false" customHeight="false" outlineLevel="0" collapsed="false">
      <c r="A151" s="15" t="n">
        <v>147</v>
      </c>
      <c r="B151" s="17"/>
      <c r="C151" s="17"/>
      <c r="D151" s="17"/>
      <c r="E151" s="17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R151" s="21" t="n">
        <f aca="false">IF(SUM(F151:P151)&gt;0,ROUND(AVERAGE(F151:P151),4),0)</f>
        <v>0</v>
      </c>
      <c r="T151" s="22" t="n">
        <v>0</v>
      </c>
      <c r="V151" s="29"/>
      <c r="X151" s="26" t="n">
        <f aca="false">IF(T151&gt;0,T151,R151)*V151</f>
        <v>0</v>
      </c>
      <c r="Z151" s="27"/>
      <c r="AA151" s="17"/>
      <c r="AB151" s="26" t="n">
        <f aca="false">IF(Z151="",0,IF(AA151="",SUMIF($B$5:$B$220,"="&amp;Z151,$X$5:$X$220),SUMIFS($X$5:$X$220, $B$5:$B$220, "="&amp;Z151, $C$5:$C$220,"="&amp;AA151)))</f>
        <v>0</v>
      </c>
      <c r="AD151" s="29"/>
      <c r="AF151" s="17"/>
      <c r="AG151" s="26" t="n">
        <f aca="false">IF(AF151="",0,SUMIF($AD$5:$AD$220,"="&amp;AF151,$X$5:$X$220))</f>
        <v>0</v>
      </c>
      <c r="AI151" s="20"/>
      <c r="AJ151" s="26" t="n">
        <f aca="false">AI151*V151</f>
        <v>0</v>
      </c>
      <c r="AK151" s="30" t="n">
        <f aca="false">IF(X151&gt;0,IF(AJ151&gt;=0,AJ151-X151,0),0)</f>
        <v>0</v>
      </c>
      <c r="AM151" s="17" t="n">
        <f aca="false">AF151</f>
        <v>0</v>
      </c>
      <c r="AN151" s="26" t="str">
        <f aca="false">IF(AM151="","",SUMIF($AD$5:$AD$220,"="&amp;AM151,$AJ$5:$AJ$220))</f>
        <v/>
      </c>
      <c r="AO151" s="26" t="e">
        <f aca="false">IF(AG151&gt;=0,IF(AN151&gt;=0,AG151-AN151,0),0)</f>
        <v>#VALUE!</v>
      </c>
      <c r="AQ151" s="27" t="n">
        <f aca="false">Z151</f>
        <v>0</v>
      </c>
      <c r="AR151" s="17" t="n">
        <f aca="false">AA151</f>
        <v>0</v>
      </c>
      <c r="AS151" s="26" t="str">
        <f aca="false">IF(AQ151="","",IF(AR151="",SUMIF($B$5:$B$220,"="&amp;AQ151,$AJ$5:$AJ$220),SUMIFS($AJ$5:$AJ$220, $B$5:$B$220, "="&amp;AQ151, $C$5:$C$220,"="&amp;AR151)))</f>
        <v/>
      </c>
      <c r="AT151" s="31" t="str">
        <f aca="false">IF(AU151&gt;0,"anular",IF(AU151&lt;0,"reforçar","nenhuma"))</f>
        <v>nenhuma</v>
      </c>
      <c r="AU151" s="26" t="n">
        <f aca="false">IF(AB151&gt;0,IF(AS151&gt;=0,AB151-AS151,0),0)</f>
        <v>0</v>
      </c>
    </row>
    <row r="152" customFormat="false" ht="15" hidden="false" customHeight="false" outlineLevel="0" collapsed="false">
      <c r="A152" s="15" t="n">
        <v>148</v>
      </c>
      <c r="B152" s="17"/>
      <c r="C152" s="17"/>
      <c r="D152" s="17"/>
      <c r="E152" s="17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R152" s="21" t="n">
        <f aca="false">IF(SUM(F152:P152)&gt;0,ROUND(AVERAGE(F152:P152),4),0)</f>
        <v>0</v>
      </c>
      <c r="T152" s="22" t="n">
        <v>0</v>
      </c>
      <c r="V152" s="29"/>
      <c r="X152" s="26" t="n">
        <f aca="false">IF(T152&gt;0,T152,R152)*V152</f>
        <v>0</v>
      </c>
      <c r="Z152" s="27"/>
      <c r="AA152" s="17"/>
      <c r="AB152" s="26" t="n">
        <f aca="false">IF(Z152="",0,IF(AA152="",SUMIF($B$5:$B$220,"="&amp;Z152,$X$5:$X$220),SUMIFS($X$5:$X$220, $B$5:$B$220, "="&amp;Z152, $C$5:$C$220,"="&amp;AA152)))</f>
        <v>0</v>
      </c>
      <c r="AD152" s="29"/>
      <c r="AF152" s="17"/>
      <c r="AG152" s="26" t="n">
        <f aca="false">IF(AF152="",0,SUMIF($AD$5:$AD$220,"="&amp;AF152,$X$5:$X$220))</f>
        <v>0</v>
      </c>
      <c r="AI152" s="20"/>
      <c r="AJ152" s="26" t="n">
        <f aca="false">AI152*V152</f>
        <v>0</v>
      </c>
      <c r="AK152" s="30" t="n">
        <f aca="false">IF(X152&gt;0,IF(AJ152&gt;=0,AJ152-X152,0),0)</f>
        <v>0</v>
      </c>
      <c r="AM152" s="17" t="n">
        <f aca="false">AF152</f>
        <v>0</v>
      </c>
      <c r="AN152" s="26" t="str">
        <f aca="false">IF(AM152="","",SUMIF($AD$5:$AD$220,"="&amp;AM152,$AJ$5:$AJ$220))</f>
        <v/>
      </c>
      <c r="AO152" s="26" t="e">
        <f aca="false">IF(AG152&gt;=0,IF(AN152&gt;=0,AG152-AN152,0),0)</f>
        <v>#VALUE!</v>
      </c>
      <c r="AQ152" s="27" t="n">
        <f aca="false">Z152</f>
        <v>0</v>
      </c>
      <c r="AR152" s="17" t="n">
        <f aca="false">AA152</f>
        <v>0</v>
      </c>
      <c r="AS152" s="26" t="str">
        <f aca="false">IF(AQ152="","",IF(AR152="",SUMIF($B$5:$B$220,"="&amp;AQ152,$AJ$5:$AJ$220),SUMIFS($AJ$5:$AJ$220, $B$5:$B$220, "="&amp;AQ152, $C$5:$C$220,"="&amp;AR152)))</f>
        <v/>
      </c>
      <c r="AT152" s="31" t="str">
        <f aca="false">IF(AU152&gt;0,"anular",IF(AU152&lt;0,"reforçar","nenhuma"))</f>
        <v>nenhuma</v>
      </c>
      <c r="AU152" s="26" t="n">
        <f aca="false">IF(AB152&gt;0,IF(AS152&gt;=0,AB152-AS152,0),0)</f>
        <v>0</v>
      </c>
    </row>
    <row r="153" customFormat="false" ht="15" hidden="false" customHeight="false" outlineLevel="0" collapsed="false">
      <c r="A153" s="15" t="n">
        <v>149</v>
      </c>
      <c r="B153" s="17"/>
      <c r="C153" s="17"/>
      <c r="D153" s="17"/>
      <c r="E153" s="17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R153" s="21" t="n">
        <f aca="false">IF(SUM(F153:P153)&gt;0,ROUND(AVERAGE(F153:P153),4),0)</f>
        <v>0</v>
      </c>
      <c r="T153" s="22" t="n">
        <v>0</v>
      </c>
      <c r="V153" s="29"/>
      <c r="X153" s="26" t="n">
        <f aca="false">IF(T153&gt;0,T153,R153)*V153</f>
        <v>0</v>
      </c>
      <c r="Z153" s="27"/>
      <c r="AA153" s="17"/>
      <c r="AB153" s="26" t="n">
        <f aca="false">IF(Z153="",0,IF(AA153="",SUMIF($B$5:$B$220,"="&amp;Z153,$X$5:$X$220),SUMIFS($X$5:$X$220, $B$5:$B$220, "="&amp;Z153, $C$5:$C$220,"="&amp;AA153)))</f>
        <v>0</v>
      </c>
      <c r="AD153" s="29"/>
      <c r="AF153" s="17"/>
      <c r="AG153" s="26" t="n">
        <f aca="false">IF(AF153="",0,SUMIF($AD$5:$AD$220,"="&amp;AF153,$X$5:$X$220))</f>
        <v>0</v>
      </c>
      <c r="AI153" s="20"/>
      <c r="AJ153" s="26" t="n">
        <f aca="false">AI153*V153</f>
        <v>0</v>
      </c>
      <c r="AK153" s="30" t="n">
        <f aca="false">IF(X153&gt;0,IF(AJ153&gt;=0,AJ153-X153,0),0)</f>
        <v>0</v>
      </c>
      <c r="AM153" s="17" t="n">
        <f aca="false">AF153</f>
        <v>0</v>
      </c>
      <c r="AN153" s="26" t="str">
        <f aca="false">IF(AM153="","",SUMIF($AD$5:$AD$220,"="&amp;AM153,$AJ$5:$AJ$220))</f>
        <v/>
      </c>
      <c r="AO153" s="26" t="e">
        <f aca="false">IF(AG153&gt;=0,IF(AN153&gt;=0,AG153-AN153,0),0)</f>
        <v>#VALUE!</v>
      </c>
      <c r="AQ153" s="27" t="n">
        <f aca="false">Z153</f>
        <v>0</v>
      </c>
      <c r="AR153" s="17" t="n">
        <f aca="false">AA153</f>
        <v>0</v>
      </c>
      <c r="AS153" s="26" t="str">
        <f aca="false">IF(AQ153="","",IF(AR153="",SUMIF($B$5:$B$220,"="&amp;AQ153,$AJ$5:$AJ$220),SUMIFS($AJ$5:$AJ$220, $B$5:$B$220, "="&amp;AQ153, $C$5:$C$220,"="&amp;AR153)))</f>
        <v/>
      </c>
      <c r="AT153" s="31" t="str">
        <f aca="false">IF(AU153&gt;0,"anular",IF(AU153&lt;0,"reforçar","nenhuma"))</f>
        <v>nenhuma</v>
      </c>
      <c r="AU153" s="26" t="n">
        <f aca="false">IF(AB153&gt;0,IF(AS153&gt;=0,AB153-AS153,0),0)</f>
        <v>0</v>
      </c>
    </row>
    <row r="154" customFormat="false" ht="15" hidden="false" customHeight="false" outlineLevel="0" collapsed="false">
      <c r="A154" s="15" t="n">
        <v>150</v>
      </c>
      <c r="B154" s="17"/>
      <c r="C154" s="17"/>
      <c r="D154" s="17"/>
      <c r="E154" s="17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R154" s="21" t="n">
        <f aca="false">IF(SUM(F154:P154)&gt;0,ROUND(AVERAGE(F154:P154),4),0)</f>
        <v>0</v>
      </c>
      <c r="T154" s="22" t="n">
        <v>0</v>
      </c>
      <c r="V154" s="29"/>
      <c r="X154" s="26" t="n">
        <f aca="false">IF(T154&gt;0,T154,R154)*V154</f>
        <v>0</v>
      </c>
      <c r="Z154" s="27"/>
      <c r="AA154" s="17"/>
      <c r="AB154" s="26" t="n">
        <f aca="false">IF(Z154="",0,IF(AA154="",SUMIF($B$5:$B$220,"="&amp;Z154,$X$5:$X$220),SUMIFS($X$5:$X$220, $B$5:$B$220, "="&amp;Z154, $C$5:$C$220,"="&amp;AA154)))</f>
        <v>0</v>
      </c>
      <c r="AD154" s="29"/>
      <c r="AF154" s="17"/>
      <c r="AG154" s="26" t="n">
        <f aca="false">IF(AF154="",0,SUMIF($AD$5:$AD$220,"="&amp;AF154,$X$5:$X$220))</f>
        <v>0</v>
      </c>
      <c r="AI154" s="20"/>
      <c r="AJ154" s="26" t="n">
        <f aca="false">AI154*V154</f>
        <v>0</v>
      </c>
      <c r="AK154" s="30" t="n">
        <f aca="false">IF(X154&gt;0,IF(AJ154&gt;=0,AJ154-X154,0),0)</f>
        <v>0</v>
      </c>
      <c r="AM154" s="17" t="n">
        <f aca="false">AF154</f>
        <v>0</v>
      </c>
      <c r="AN154" s="26" t="str">
        <f aca="false">IF(AM154="","",SUMIF($AD$5:$AD$220,"="&amp;AM154,$AJ$5:$AJ$220))</f>
        <v/>
      </c>
      <c r="AO154" s="26" t="e">
        <f aca="false">IF(AG154&gt;=0,IF(AN154&gt;=0,AG154-AN154,0),0)</f>
        <v>#VALUE!</v>
      </c>
      <c r="AQ154" s="27" t="n">
        <f aca="false">Z154</f>
        <v>0</v>
      </c>
      <c r="AR154" s="17" t="n">
        <f aca="false">AA154</f>
        <v>0</v>
      </c>
      <c r="AS154" s="26" t="str">
        <f aca="false">IF(AQ154="","",IF(AR154="",SUMIF($B$5:$B$220,"="&amp;AQ154,$AJ$5:$AJ$220),SUMIFS($AJ$5:$AJ$220, $B$5:$B$220, "="&amp;AQ154, $C$5:$C$220,"="&amp;AR154)))</f>
        <v/>
      </c>
      <c r="AT154" s="31" t="str">
        <f aca="false">IF(AU154&gt;0,"anular",IF(AU154&lt;0,"reforçar","nenhuma"))</f>
        <v>nenhuma</v>
      </c>
      <c r="AU154" s="26" t="n">
        <f aca="false">IF(AB154&gt;0,IF(AS154&gt;=0,AB154-AS154,0),0)</f>
        <v>0</v>
      </c>
    </row>
    <row r="155" customFormat="false" ht="15" hidden="false" customHeight="false" outlineLevel="0" collapsed="false">
      <c r="A155" s="15" t="n">
        <v>151</v>
      </c>
      <c r="B155" s="17"/>
      <c r="C155" s="17"/>
      <c r="D155" s="17"/>
      <c r="E155" s="17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R155" s="21" t="n">
        <f aca="false">IF(SUM(F155:P155)&gt;0,ROUND(AVERAGE(F155:P155),4),0)</f>
        <v>0</v>
      </c>
      <c r="T155" s="22" t="n">
        <v>0</v>
      </c>
      <c r="V155" s="29"/>
      <c r="X155" s="26" t="n">
        <f aca="false">IF(T155&gt;0,T155,R155)*V155</f>
        <v>0</v>
      </c>
      <c r="Z155" s="27"/>
      <c r="AA155" s="17"/>
      <c r="AB155" s="26" t="n">
        <f aca="false">IF(Z155="",0,IF(AA155="",SUMIF($B$5:$B$220,"="&amp;Z155,$X$5:$X$220),SUMIFS($X$5:$X$220, $B$5:$B$220, "="&amp;Z155, $C$5:$C$220,"="&amp;AA155)))</f>
        <v>0</v>
      </c>
      <c r="AD155" s="29"/>
      <c r="AF155" s="17"/>
      <c r="AG155" s="26" t="n">
        <f aca="false">IF(AF155="",0,SUMIF($AD$5:$AD$220,"="&amp;AF155,$X$5:$X$220))</f>
        <v>0</v>
      </c>
      <c r="AI155" s="20"/>
      <c r="AJ155" s="26" t="n">
        <f aca="false">AI155*V155</f>
        <v>0</v>
      </c>
      <c r="AK155" s="30" t="n">
        <f aca="false">IF(X155&gt;0,IF(AJ155&gt;=0,AJ155-X155,0),0)</f>
        <v>0</v>
      </c>
      <c r="AM155" s="17" t="n">
        <f aca="false">AF155</f>
        <v>0</v>
      </c>
      <c r="AN155" s="26" t="str">
        <f aca="false">IF(AM155="","",SUMIF($AD$5:$AD$220,"="&amp;AM155,$AJ$5:$AJ$220))</f>
        <v/>
      </c>
      <c r="AO155" s="26" t="e">
        <f aca="false">IF(AG155&gt;=0,IF(AN155&gt;=0,AG155-AN155,0),0)</f>
        <v>#VALUE!</v>
      </c>
      <c r="AQ155" s="27" t="n">
        <f aca="false">Z155</f>
        <v>0</v>
      </c>
      <c r="AR155" s="17" t="n">
        <f aca="false">AA155</f>
        <v>0</v>
      </c>
      <c r="AS155" s="26" t="str">
        <f aca="false">IF(AQ155="","",IF(AR155="",SUMIF($B$5:$B$220,"="&amp;AQ155,$AJ$5:$AJ$220),SUMIFS($AJ$5:$AJ$220, $B$5:$B$220, "="&amp;AQ155, $C$5:$C$220,"="&amp;AR155)))</f>
        <v/>
      </c>
      <c r="AT155" s="31" t="str">
        <f aca="false">IF(AU155&gt;0,"anular",IF(AU155&lt;0,"reforçar","nenhuma"))</f>
        <v>nenhuma</v>
      </c>
      <c r="AU155" s="26" t="n">
        <f aca="false">IF(AB155&gt;0,IF(AS155&gt;=0,AB155-AS155,0),0)</f>
        <v>0</v>
      </c>
    </row>
    <row r="156" customFormat="false" ht="15" hidden="false" customHeight="false" outlineLevel="0" collapsed="false">
      <c r="A156" s="15" t="n">
        <v>152</v>
      </c>
      <c r="B156" s="17"/>
      <c r="C156" s="17"/>
      <c r="D156" s="17"/>
      <c r="E156" s="17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R156" s="21" t="n">
        <f aca="false">IF(SUM(F156:P156)&gt;0,ROUND(AVERAGE(F156:P156),4),0)</f>
        <v>0</v>
      </c>
      <c r="T156" s="22" t="n">
        <v>0</v>
      </c>
      <c r="V156" s="29"/>
      <c r="X156" s="26" t="n">
        <f aca="false">IF(T156&gt;0,T156,R156)*V156</f>
        <v>0</v>
      </c>
      <c r="Z156" s="27"/>
      <c r="AA156" s="17"/>
      <c r="AB156" s="26" t="n">
        <f aca="false">IF(Z156="",0,IF(AA156="",SUMIF($B$5:$B$220,"="&amp;Z156,$X$5:$X$220),SUMIFS($X$5:$X$220, $B$5:$B$220, "="&amp;Z156, $C$5:$C$220,"="&amp;AA156)))</f>
        <v>0</v>
      </c>
      <c r="AD156" s="29"/>
      <c r="AF156" s="17"/>
      <c r="AG156" s="26" t="n">
        <f aca="false">IF(AF156="",0,SUMIF($AD$5:$AD$220,"="&amp;AF156,$X$5:$X$220))</f>
        <v>0</v>
      </c>
      <c r="AI156" s="20"/>
      <c r="AJ156" s="26" t="n">
        <f aca="false">AI156*V156</f>
        <v>0</v>
      </c>
      <c r="AK156" s="30" t="n">
        <f aca="false">IF(X156&gt;0,IF(AJ156&gt;=0,AJ156-X156,0),0)</f>
        <v>0</v>
      </c>
      <c r="AM156" s="17" t="n">
        <f aca="false">AF156</f>
        <v>0</v>
      </c>
      <c r="AN156" s="26" t="str">
        <f aca="false">IF(AM156="","",SUMIF($AD$5:$AD$220,"="&amp;AM156,$AJ$5:$AJ$220))</f>
        <v/>
      </c>
      <c r="AO156" s="26" t="e">
        <f aca="false">IF(AG156&gt;=0,IF(AN156&gt;=0,AG156-AN156,0),0)</f>
        <v>#VALUE!</v>
      </c>
      <c r="AQ156" s="27" t="n">
        <f aca="false">Z156</f>
        <v>0</v>
      </c>
      <c r="AR156" s="17" t="n">
        <f aca="false">AA156</f>
        <v>0</v>
      </c>
      <c r="AS156" s="26" t="str">
        <f aca="false">IF(AQ156="","",IF(AR156="",SUMIF($B$5:$B$220,"="&amp;AQ156,$AJ$5:$AJ$220),SUMIFS($AJ$5:$AJ$220, $B$5:$B$220, "="&amp;AQ156, $C$5:$C$220,"="&amp;AR156)))</f>
        <v/>
      </c>
      <c r="AT156" s="31" t="str">
        <f aca="false">IF(AU156&gt;0,"anular",IF(AU156&lt;0,"reforçar","nenhuma"))</f>
        <v>nenhuma</v>
      </c>
      <c r="AU156" s="26" t="n">
        <f aca="false">IF(AB156&gt;0,IF(AS156&gt;=0,AB156-AS156,0),0)</f>
        <v>0</v>
      </c>
    </row>
    <row r="157" customFormat="false" ht="15" hidden="false" customHeight="false" outlineLevel="0" collapsed="false">
      <c r="A157" s="15" t="n">
        <v>153</v>
      </c>
      <c r="B157" s="17"/>
      <c r="C157" s="17"/>
      <c r="D157" s="17"/>
      <c r="E157" s="17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R157" s="21" t="n">
        <f aca="false">IF(SUM(F157:P157)&gt;0,ROUND(AVERAGE(F157:P157),4),0)</f>
        <v>0</v>
      </c>
      <c r="T157" s="22" t="n">
        <v>0</v>
      </c>
      <c r="V157" s="29"/>
      <c r="X157" s="26" t="n">
        <f aca="false">IF(T157&gt;0,T157,R157)*V157</f>
        <v>0</v>
      </c>
      <c r="Z157" s="27"/>
      <c r="AA157" s="17"/>
      <c r="AB157" s="26" t="n">
        <f aca="false">IF(Z157="",0,IF(AA157="",SUMIF($B$5:$B$220,"="&amp;Z157,$X$5:$X$220),SUMIFS($X$5:$X$220, $B$5:$B$220, "="&amp;Z157, $C$5:$C$220,"="&amp;AA157)))</f>
        <v>0</v>
      </c>
      <c r="AD157" s="29"/>
      <c r="AF157" s="17"/>
      <c r="AG157" s="26" t="n">
        <f aca="false">IF(AF157="",0,SUMIF($AD$5:$AD$220,"="&amp;AF157,$X$5:$X$220))</f>
        <v>0</v>
      </c>
      <c r="AI157" s="20"/>
      <c r="AJ157" s="26" t="n">
        <f aca="false">AI157*V157</f>
        <v>0</v>
      </c>
      <c r="AK157" s="30" t="n">
        <f aca="false">IF(X157&gt;0,IF(AJ157&gt;=0,AJ157-X157,0),0)</f>
        <v>0</v>
      </c>
      <c r="AM157" s="17" t="n">
        <f aca="false">AF157</f>
        <v>0</v>
      </c>
      <c r="AN157" s="26" t="str">
        <f aca="false">IF(AM157="","",SUMIF($AD$5:$AD$220,"="&amp;AM157,$AJ$5:$AJ$220))</f>
        <v/>
      </c>
      <c r="AO157" s="26" t="e">
        <f aca="false">IF(AG157&gt;=0,IF(AN157&gt;=0,AG157-AN157,0),0)</f>
        <v>#VALUE!</v>
      </c>
      <c r="AQ157" s="27" t="n">
        <f aca="false">Z157</f>
        <v>0</v>
      </c>
      <c r="AR157" s="17" t="n">
        <f aca="false">AA157</f>
        <v>0</v>
      </c>
      <c r="AS157" s="26" t="str">
        <f aca="false">IF(AQ157="","",IF(AR157="",SUMIF($B$5:$B$220,"="&amp;AQ157,$AJ$5:$AJ$220),SUMIFS($AJ$5:$AJ$220, $B$5:$B$220, "="&amp;AQ157, $C$5:$C$220,"="&amp;AR157)))</f>
        <v/>
      </c>
      <c r="AT157" s="31" t="str">
        <f aca="false">IF(AU157&gt;0,"anular",IF(AU157&lt;0,"reforçar","nenhuma"))</f>
        <v>nenhuma</v>
      </c>
      <c r="AU157" s="26" t="n">
        <f aca="false">IF(AB157&gt;0,IF(AS157&gt;=0,AB157-AS157,0),0)</f>
        <v>0</v>
      </c>
    </row>
    <row r="158" customFormat="false" ht="15" hidden="false" customHeight="false" outlineLevel="0" collapsed="false">
      <c r="A158" s="15" t="n">
        <v>154</v>
      </c>
      <c r="B158" s="17"/>
      <c r="C158" s="17"/>
      <c r="D158" s="17"/>
      <c r="E158" s="17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R158" s="21" t="n">
        <f aca="false">IF(SUM(F158:P158)&gt;0,ROUND(AVERAGE(F158:P158),4),0)</f>
        <v>0</v>
      </c>
      <c r="T158" s="22" t="n">
        <v>0</v>
      </c>
      <c r="V158" s="29"/>
      <c r="X158" s="26" t="n">
        <f aca="false">IF(T158&gt;0,T158,R158)*V158</f>
        <v>0</v>
      </c>
      <c r="Z158" s="27"/>
      <c r="AA158" s="17"/>
      <c r="AB158" s="26" t="n">
        <f aca="false">IF(Z158="",0,IF(AA158="",SUMIF($B$5:$B$220,"="&amp;Z158,$X$5:$X$220),SUMIFS($X$5:$X$220, $B$5:$B$220, "="&amp;Z158, $C$5:$C$220,"="&amp;AA158)))</f>
        <v>0</v>
      </c>
      <c r="AD158" s="29"/>
      <c r="AF158" s="17"/>
      <c r="AG158" s="26" t="n">
        <f aca="false">IF(AF158="",0,SUMIF($AD$5:$AD$220,"="&amp;AF158,$X$5:$X$220))</f>
        <v>0</v>
      </c>
      <c r="AI158" s="20"/>
      <c r="AJ158" s="26" t="n">
        <f aca="false">AI158*V158</f>
        <v>0</v>
      </c>
      <c r="AK158" s="30" t="n">
        <f aca="false">IF(X158&gt;0,IF(AJ158&gt;=0,AJ158-X158,0),0)</f>
        <v>0</v>
      </c>
      <c r="AM158" s="17" t="n">
        <f aca="false">AF158</f>
        <v>0</v>
      </c>
      <c r="AN158" s="26" t="str">
        <f aca="false">IF(AM158="","",SUMIF($AD$5:$AD$220,"="&amp;AM158,$AJ$5:$AJ$220))</f>
        <v/>
      </c>
      <c r="AO158" s="26" t="e">
        <f aca="false">IF(AG158&gt;=0,IF(AN158&gt;=0,AG158-AN158,0),0)</f>
        <v>#VALUE!</v>
      </c>
      <c r="AQ158" s="27" t="n">
        <f aca="false">Z158</f>
        <v>0</v>
      </c>
      <c r="AR158" s="17" t="n">
        <f aca="false">AA158</f>
        <v>0</v>
      </c>
      <c r="AS158" s="26" t="str">
        <f aca="false">IF(AQ158="","",IF(AR158="",SUMIF($B$5:$B$220,"="&amp;AQ158,$AJ$5:$AJ$220),SUMIFS($AJ$5:$AJ$220, $B$5:$B$220, "="&amp;AQ158, $C$5:$C$220,"="&amp;AR158)))</f>
        <v/>
      </c>
      <c r="AT158" s="31" t="str">
        <f aca="false">IF(AU158&gt;0,"anular",IF(AU158&lt;0,"reforçar","nenhuma"))</f>
        <v>nenhuma</v>
      </c>
      <c r="AU158" s="26" t="n">
        <f aca="false">IF(AB158&gt;0,IF(AS158&gt;=0,AB158-AS158,0),0)</f>
        <v>0</v>
      </c>
    </row>
    <row r="159" customFormat="false" ht="15" hidden="false" customHeight="false" outlineLevel="0" collapsed="false">
      <c r="A159" s="15" t="n">
        <v>155</v>
      </c>
      <c r="B159" s="17"/>
      <c r="C159" s="17"/>
      <c r="D159" s="17"/>
      <c r="E159" s="17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R159" s="21" t="n">
        <f aca="false">IF(SUM(F159:P159)&gt;0,ROUND(AVERAGE(F159:P159),4),0)</f>
        <v>0</v>
      </c>
      <c r="T159" s="22" t="n">
        <v>0</v>
      </c>
      <c r="V159" s="29"/>
      <c r="X159" s="26" t="n">
        <f aca="false">IF(T159&gt;0,T159,R159)*V159</f>
        <v>0</v>
      </c>
      <c r="Z159" s="27"/>
      <c r="AA159" s="17"/>
      <c r="AB159" s="26" t="n">
        <f aca="false">IF(Z159="",0,IF(AA159="",SUMIF($B$5:$B$220,"="&amp;Z159,$X$5:$X$220),SUMIFS($X$5:$X$220, $B$5:$B$220, "="&amp;Z159, $C$5:$C$220,"="&amp;AA159)))</f>
        <v>0</v>
      </c>
      <c r="AD159" s="29"/>
      <c r="AF159" s="17"/>
      <c r="AG159" s="26" t="n">
        <f aca="false">IF(AF159="",0,SUMIF($AD$5:$AD$220,"="&amp;AF159,$X$5:$X$220))</f>
        <v>0</v>
      </c>
      <c r="AI159" s="20"/>
      <c r="AJ159" s="26" t="n">
        <f aca="false">AI159*V159</f>
        <v>0</v>
      </c>
      <c r="AK159" s="30" t="n">
        <f aca="false">IF(X159&gt;0,IF(AJ159&gt;=0,AJ159-X159,0),0)</f>
        <v>0</v>
      </c>
      <c r="AM159" s="17" t="n">
        <f aca="false">AF159</f>
        <v>0</v>
      </c>
      <c r="AN159" s="26" t="str">
        <f aca="false">IF(AM159="","",SUMIF($AD$5:$AD$220,"="&amp;AM159,$AJ$5:$AJ$220))</f>
        <v/>
      </c>
      <c r="AO159" s="26" t="e">
        <f aca="false">IF(AG159&gt;=0,IF(AN159&gt;=0,AG159-AN159,0),0)</f>
        <v>#VALUE!</v>
      </c>
      <c r="AQ159" s="27" t="n">
        <f aca="false">Z159</f>
        <v>0</v>
      </c>
      <c r="AR159" s="17" t="n">
        <f aca="false">AA159</f>
        <v>0</v>
      </c>
      <c r="AS159" s="26" t="str">
        <f aca="false">IF(AQ159="","",IF(AR159="",SUMIF($B$5:$B$220,"="&amp;AQ159,$AJ$5:$AJ$220),SUMIFS($AJ$5:$AJ$220, $B$5:$B$220, "="&amp;AQ159, $C$5:$C$220,"="&amp;AR159)))</f>
        <v/>
      </c>
      <c r="AT159" s="31" t="str">
        <f aca="false">IF(AU159&gt;0,"anular",IF(AU159&lt;0,"reforçar","nenhuma"))</f>
        <v>nenhuma</v>
      </c>
      <c r="AU159" s="26" t="n">
        <f aca="false">IF(AB159&gt;0,IF(AS159&gt;=0,AB159-AS159,0),0)</f>
        <v>0</v>
      </c>
    </row>
    <row r="160" customFormat="false" ht="15" hidden="false" customHeight="false" outlineLevel="0" collapsed="false">
      <c r="A160" s="15" t="n">
        <v>156</v>
      </c>
      <c r="B160" s="17"/>
      <c r="C160" s="17"/>
      <c r="D160" s="17"/>
      <c r="E160" s="17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R160" s="21" t="n">
        <f aca="false">IF(SUM(F160:P160)&gt;0,ROUND(AVERAGE(F160:P160),4),0)</f>
        <v>0</v>
      </c>
      <c r="T160" s="22" t="n">
        <v>0</v>
      </c>
      <c r="V160" s="29"/>
      <c r="X160" s="26" t="n">
        <f aca="false">IF(T160&gt;0,T160,R160)*V160</f>
        <v>0</v>
      </c>
      <c r="Z160" s="27"/>
      <c r="AA160" s="17"/>
      <c r="AB160" s="26" t="n">
        <f aca="false">IF(Z160="",0,IF(AA160="",SUMIF($B$5:$B$220,"="&amp;Z160,$X$5:$X$220),SUMIFS($X$5:$X$220, $B$5:$B$220, "="&amp;Z160, $C$5:$C$220,"="&amp;AA160)))</f>
        <v>0</v>
      </c>
      <c r="AD160" s="29"/>
      <c r="AF160" s="17"/>
      <c r="AG160" s="26" t="n">
        <f aca="false">IF(AF160="",0,SUMIF($AD$5:$AD$220,"="&amp;AF160,$X$5:$X$220))</f>
        <v>0</v>
      </c>
      <c r="AI160" s="20"/>
      <c r="AJ160" s="26" t="n">
        <f aca="false">AI160*V160</f>
        <v>0</v>
      </c>
      <c r="AK160" s="30" t="n">
        <f aca="false">IF(X160&gt;0,IF(AJ160&gt;=0,AJ160-X160,0),0)</f>
        <v>0</v>
      </c>
      <c r="AM160" s="17" t="n">
        <f aca="false">AF160</f>
        <v>0</v>
      </c>
      <c r="AN160" s="26" t="str">
        <f aca="false">IF(AM160="","",SUMIF($AD$5:$AD$220,"="&amp;AM160,$AJ$5:$AJ$220))</f>
        <v/>
      </c>
      <c r="AO160" s="26" t="e">
        <f aca="false">IF(AG160&gt;=0,IF(AN160&gt;=0,AG160-AN160,0),0)</f>
        <v>#VALUE!</v>
      </c>
      <c r="AQ160" s="27" t="n">
        <f aca="false">Z160</f>
        <v>0</v>
      </c>
      <c r="AR160" s="17" t="n">
        <f aca="false">AA160</f>
        <v>0</v>
      </c>
      <c r="AS160" s="26" t="str">
        <f aca="false">IF(AQ160="","",IF(AR160="",SUMIF($B$5:$B$220,"="&amp;AQ160,$AJ$5:$AJ$220),SUMIFS($AJ$5:$AJ$220, $B$5:$B$220, "="&amp;AQ160, $C$5:$C$220,"="&amp;AR160)))</f>
        <v/>
      </c>
      <c r="AT160" s="31" t="str">
        <f aca="false">IF(AU160&gt;0,"anular",IF(AU160&lt;0,"reforçar","nenhuma"))</f>
        <v>nenhuma</v>
      </c>
      <c r="AU160" s="26" t="n">
        <f aca="false">IF(AB160&gt;0,IF(AS160&gt;=0,AB160-AS160,0),0)</f>
        <v>0</v>
      </c>
    </row>
    <row r="161" customFormat="false" ht="15" hidden="false" customHeight="false" outlineLevel="0" collapsed="false">
      <c r="A161" s="15" t="n">
        <v>157</v>
      </c>
      <c r="B161" s="17"/>
      <c r="C161" s="17"/>
      <c r="D161" s="17"/>
      <c r="E161" s="17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R161" s="21" t="n">
        <f aca="false">IF(SUM(F161:P161)&gt;0,ROUND(AVERAGE(F161:P161),4),0)</f>
        <v>0</v>
      </c>
      <c r="T161" s="22" t="n">
        <v>0</v>
      </c>
      <c r="V161" s="29"/>
      <c r="X161" s="26" t="n">
        <f aca="false">IF(T161&gt;0,T161,R161)*V161</f>
        <v>0</v>
      </c>
      <c r="Z161" s="27"/>
      <c r="AA161" s="17"/>
      <c r="AB161" s="26" t="n">
        <f aca="false">IF(Z161="",0,IF(AA161="",SUMIF($B$5:$B$220,"="&amp;Z161,$X$5:$X$220),SUMIFS($X$5:$X$220, $B$5:$B$220, "="&amp;Z161, $C$5:$C$220,"="&amp;AA161)))</f>
        <v>0</v>
      </c>
      <c r="AD161" s="29"/>
      <c r="AF161" s="17"/>
      <c r="AG161" s="26" t="n">
        <f aca="false">IF(AF161="",0,SUMIF($AD$5:$AD$220,"="&amp;AF161,$X$5:$X$220))</f>
        <v>0</v>
      </c>
      <c r="AI161" s="20"/>
      <c r="AJ161" s="26" t="n">
        <f aca="false">AI161*V161</f>
        <v>0</v>
      </c>
      <c r="AK161" s="30" t="n">
        <f aca="false">IF(X161&gt;0,IF(AJ161&gt;=0,AJ161-X161,0),0)</f>
        <v>0</v>
      </c>
      <c r="AM161" s="17" t="n">
        <f aca="false">AF161</f>
        <v>0</v>
      </c>
      <c r="AN161" s="26" t="str">
        <f aca="false">IF(AM161="","",SUMIF($AD$5:$AD$220,"="&amp;AM161,$AJ$5:$AJ$220))</f>
        <v/>
      </c>
      <c r="AO161" s="26" t="e">
        <f aca="false">IF(AG161&gt;=0,IF(AN161&gt;=0,AG161-AN161,0),0)</f>
        <v>#VALUE!</v>
      </c>
      <c r="AQ161" s="27" t="n">
        <f aca="false">Z161</f>
        <v>0</v>
      </c>
      <c r="AR161" s="17" t="n">
        <f aca="false">AA161</f>
        <v>0</v>
      </c>
      <c r="AS161" s="26" t="str">
        <f aca="false">IF(AQ161="","",IF(AR161="",SUMIF($B$5:$B$220,"="&amp;AQ161,$AJ$5:$AJ$220),SUMIFS($AJ$5:$AJ$220, $B$5:$B$220, "="&amp;AQ161, $C$5:$C$220,"="&amp;AR161)))</f>
        <v/>
      </c>
      <c r="AT161" s="31" t="str">
        <f aca="false">IF(AU161&gt;0,"anular",IF(AU161&lt;0,"reforçar","nenhuma"))</f>
        <v>nenhuma</v>
      </c>
      <c r="AU161" s="26" t="n">
        <f aca="false">IF(AB161&gt;0,IF(AS161&gt;=0,AB161-AS161,0),0)</f>
        <v>0</v>
      </c>
    </row>
    <row r="162" customFormat="false" ht="15" hidden="false" customHeight="false" outlineLevel="0" collapsed="false">
      <c r="A162" s="15" t="n">
        <v>158</v>
      </c>
      <c r="B162" s="17"/>
      <c r="C162" s="17"/>
      <c r="D162" s="17"/>
      <c r="E162" s="17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R162" s="21" t="n">
        <f aca="false">IF(SUM(F162:P162)&gt;0,ROUND(AVERAGE(F162:P162),4),0)</f>
        <v>0</v>
      </c>
      <c r="T162" s="22" t="n">
        <v>0</v>
      </c>
      <c r="V162" s="29"/>
      <c r="X162" s="26" t="n">
        <f aca="false">IF(T162&gt;0,T162,R162)*V162</f>
        <v>0</v>
      </c>
      <c r="Z162" s="27"/>
      <c r="AA162" s="17"/>
      <c r="AB162" s="26" t="n">
        <f aca="false">IF(Z162="",0,IF(AA162="",SUMIF($B$5:$B$220,"="&amp;Z162,$X$5:$X$220),SUMIFS($X$5:$X$220, $B$5:$B$220, "="&amp;Z162, $C$5:$C$220,"="&amp;AA162)))</f>
        <v>0</v>
      </c>
      <c r="AD162" s="29"/>
      <c r="AF162" s="17"/>
      <c r="AG162" s="26" t="n">
        <f aca="false">IF(AF162="",0,SUMIF($AD$5:$AD$220,"="&amp;AF162,$X$5:$X$220))</f>
        <v>0</v>
      </c>
      <c r="AI162" s="20"/>
      <c r="AJ162" s="26" t="n">
        <f aca="false">AI162*V162</f>
        <v>0</v>
      </c>
      <c r="AK162" s="30" t="n">
        <f aca="false">IF(X162&gt;0,IF(AJ162&gt;=0,AJ162-X162,0),0)</f>
        <v>0</v>
      </c>
      <c r="AM162" s="17" t="n">
        <f aca="false">AF162</f>
        <v>0</v>
      </c>
      <c r="AN162" s="26" t="str">
        <f aca="false">IF(AM162="","",SUMIF($AD$5:$AD$220,"="&amp;AM162,$AJ$5:$AJ$220))</f>
        <v/>
      </c>
      <c r="AO162" s="26" t="e">
        <f aca="false">IF(AG162&gt;=0,IF(AN162&gt;=0,AG162-AN162,0),0)</f>
        <v>#VALUE!</v>
      </c>
      <c r="AQ162" s="27" t="n">
        <f aca="false">Z162</f>
        <v>0</v>
      </c>
      <c r="AR162" s="17" t="n">
        <f aca="false">AA162</f>
        <v>0</v>
      </c>
      <c r="AS162" s="26" t="str">
        <f aca="false">IF(AQ162="","",IF(AR162="",SUMIF($B$5:$B$220,"="&amp;AQ162,$AJ$5:$AJ$220),SUMIFS($AJ$5:$AJ$220, $B$5:$B$220, "="&amp;AQ162, $C$5:$C$220,"="&amp;AR162)))</f>
        <v/>
      </c>
      <c r="AT162" s="31" t="str">
        <f aca="false">IF(AU162&gt;0,"anular",IF(AU162&lt;0,"reforçar","nenhuma"))</f>
        <v>nenhuma</v>
      </c>
      <c r="AU162" s="26" t="n">
        <f aca="false">IF(AB162&gt;0,IF(AS162&gt;=0,AB162-AS162,0),0)</f>
        <v>0</v>
      </c>
    </row>
    <row r="163" customFormat="false" ht="15" hidden="false" customHeight="false" outlineLevel="0" collapsed="false">
      <c r="A163" s="15" t="n">
        <v>159</v>
      </c>
      <c r="B163" s="17"/>
      <c r="C163" s="17"/>
      <c r="D163" s="17"/>
      <c r="E163" s="17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R163" s="21" t="n">
        <f aca="false">IF(SUM(F163:P163)&gt;0,ROUND(AVERAGE(F163:P163),4),0)</f>
        <v>0</v>
      </c>
      <c r="T163" s="22" t="n">
        <v>0</v>
      </c>
      <c r="V163" s="29"/>
      <c r="X163" s="26" t="n">
        <f aca="false">IF(T163&gt;0,T163,R163)*V163</f>
        <v>0</v>
      </c>
      <c r="Z163" s="27"/>
      <c r="AA163" s="17"/>
      <c r="AB163" s="26" t="n">
        <f aca="false">IF(Z163="",0,IF(AA163="",SUMIF($B$5:$B$220,"="&amp;Z163,$X$5:$X$220),SUMIFS($X$5:$X$220, $B$5:$B$220, "="&amp;Z163, $C$5:$C$220,"="&amp;AA163)))</f>
        <v>0</v>
      </c>
      <c r="AD163" s="29"/>
      <c r="AF163" s="17"/>
      <c r="AG163" s="26" t="n">
        <f aca="false">IF(AF163="",0,SUMIF($AD$5:$AD$220,"="&amp;AF163,$X$5:$X$220))</f>
        <v>0</v>
      </c>
      <c r="AI163" s="20"/>
      <c r="AJ163" s="26" t="n">
        <f aca="false">AI163*V163</f>
        <v>0</v>
      </c>
      <c r="AK163" s="30" t="n">
        <f aca="false">IF(X163&gt;0,IF(AJ163&gt;=0,AJ163-X163,0),0)</f>
        <v>0</v>
      </c>
      <c r="AM163" s="17" t="n">
        <f aca="false">AF163</f>
        <v>0</v>
      </c>
      <c r="AN163" s="26" t="str">
        <f aca="false">IF(AM163="","",SUMIF($AD$5:$AD$220,"="&amp;AM163,$AJ$5:$AJ$220))</f>
        <v/>
      </c>
      <c r="AO163" s="26" t="e">
        <f aca="false">IF(AG163&gt;=0,IF(AN163&gt;=0,AG163-AN163,0),0)</f>
        <v>#VALUE!</v>
      </c>
      <c r="AQ163" s="27" t="n">
        <f aca="false">Z163</f>
        <v>0</v>
      </c>
      <c r="AR163" s="17" t="n">
        <f aca="false">AA163</f>
        <v>0</v>
      </c>
      <c r="AS163" s="26" t="str">
        <f aca="false">IF(AQ163="","",IF(AR163="",SUMIF($B$5:$B$220,"="&amp;AQ163,$AJ$5:$AJ$220),SUMIFS($AJ$5:$AJ$220, $B$5:$B$220, "="&amp;AQ163, $C$5:$C$220,"="&amp;AR163)))</f>
        <v/>
      </c>
      <c r="AT163" s="31" t="str">
        <f aca="false">IF(AU163&gt;0,"anular",IF(AU163&lt;0,"reforçar","nenhuma"))</f>
        <v>nenhuma</v>
      </c>
      <c r="AU163" s="26" t="n">
        <f aca="false">IF(AB163&gt;0,IF(AS163&gt;=0,AB163-AS163,0),0)</f>
        <v>0</v>
      </c>
    </row>
    <row r="164" customFormat="false" ht="15" hidden="false" customHeight="false" outlineLevel="0" collapsed="false">
      <c r="A164" s="15" t="n">
        <v>160</v>
      </c>
      <c r="B164" s="17"/>
      <c r="C164" s="17"/>
      <c r="D164" s="17"/>
      <c r="E164" s="17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R164" s="21" t="n">
        <f aca="false">IF(SUM(F164:P164)&gt;0,ROUND(AVERAGE(F164:P164),4),0)</f>
        <v>0</v>
      </c>
      <c r="T164" s="22" t="n">
        <v>0</v>
      </c>
      <c r="V164" s="29"/>
      <c r="X164" s="26" t="n">
        <f aca="false">IF(T164&gt;0,T164,R164)*V164</f>
        <v>0</v>
      </c>
      <c r="Z164" s="27"/>
      <c r="AA164" s="17"/>
      <c r="AB164" s="26" t="n">
        <f aca="false">IF(Z164="",0,IF(AA164="",SUMIF($B$5:$B$220,"="&amp;Z164,$X$5:$X$220),SUMIFS($X$5:$X$220, $B$5:$B$220, "="&amp;Z164, $C$5:$C$220,"="&amp;AA164)))</f>
        <v>0</v>
      </c>
      <c r="AD164" s="29"/>
      <c r="AF164" s="17"/>
      <c r="AG164" s="26" t="n">
        <f aca="false">IF(AF164="",0,SUMIF($AD$5:$AD$220,"="&amp;AF164,$X$5:$X$220))</f>
        <v>0</v>
      </c>
      <c r="AI164" s="20"/>
      <c r="AJ164" s="26" t="n">
        <f aca="false">AI164*V164</f>
        <v>0</v>
      </c>
      <c r="AK164" s="30" t="n">
        <f aca="false">IF(X164&gt;0,IF(AJ164&gt;=0,AJ164-X164,0),0)</f>
        <v>0</v>
      </c>
      <c r="AM164" s="17" t="n">
        <f aca="false">AF164</f>
        <v>0</v>
      </c>
      <c r="AN164" s="26" t="str">
        <f aca="false">IF(AM164="","",SUMIF($AD$5:$AD$220,"="&amp;AM164,$AJ$5:$AJ$220))</f>
        <v/>
      </c>
      <c r="AO164" s="26" t="e">
        <f aca="false">IF(AG164&gt;=0,IF(AN164&gt;=0,AG164-AN164,0),0)</f>
        <v>#VALUE!</v>
      </c>
      <c r="AQ164" s="27" t="n">
        <f aca="false">Z164</f>
        <v>0</v>
      </c>
      <c r="AR164" s="17" t="n">
        <f aca="false">AA164</f>
        <v>0</v>
      </c>
      <c r="AS164" s="26" t="str">
        <f aca="false">IF(AQ164="","",IF(AR164="",SUMIF($B$5:$B$220,"="&amp;AQ164,$AJ$5:$AJ$220),SUMIFS($AJ$5:$AJ$220, $B$5:$B$220, "="&amp;AQ164, $C$5:$C$220,"="&amp;AR164)))</f>
        <v/>
      </c>
      <c r="AT164" s="31" t="str">
        <f aca="false">IF(AU164&gt;0,"anular",IF(AU164&lt;0,"reforçar","nenhuma"))</f>
        <v>nenhuma</v>
      </c>
      <c r="AU164" s="26" t="n">
        <f aca="false">IF(AB164&gt;0,IF(AS164&gt;=0,AB164-AS164,0),0)</f>
        <v>0</v>
      </c>
    </row>
    <row r="165" customFormat="false" ht="15" hidden="false" customHeight="false" outlineLevel="0" collapsed="false">
      <c r="A165" s="15" t="n">
        <v>161</v>
      </c>
      <c r="B165" s="17"/>
      <c r="C165" s="17"/>
      <c r="D165" s="17"/>
      <c r="E165" s="17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R165" s="21" t="n">
        <f aca="false">IF(SUM(F165:P165)&gt;0,ROUND(AVERAGE(F165:P165),4),0)</f>
        <v>0</v>
      </c>
      <c r="T165" s="22" t="n">
        <v>0</v>
      </c>
      <c r="V165" s="29"/>
      <c r="X165" s="26" t="n">
        <f aca="false">IF(T165&gt;0,T165,R165)*V165</f>
        <v>0</v>
      </c>
      <c r="Z165" s="27"/>
      <c r="AA165" s="17"/>
      <c r="AB165" s="26" t="n">
        <f aca="false">IF(Z165="",0,IF(AA165="",SUMIF($B$5:$B$220,"="&amp;Z165,$X$5:$X$220),SUMIFS($X$5:$X$220, $B$5:$B$220, "="&amp;Z165, $C$5:$C$220,"="&amp;AA165)))</f>
        <v>0</v>
      </c>
      <c r="AD165" s="29"/>
      <c r="AF165" s="17"/>
      <c r="AG165" s="26" t="n">
        <f aca="false">IF(AF165="",0,SUMIF($AD$5:$AD$220,"="&amp;AF165,$X$5:$X$220))</f>
        <v>0</v>
      </c>
      <c r="AI165" s="20"/>
      <c r="AJ165" s="26" t="n">
        <f aca="false">AI165*V165</f>
        <v>0</v>
      </c>
      <c r="AK165" s="30" t="n">
        <f aca="false">IF(X165&gt;0,IF(AJ165&gt;=0,AJ165-X165,0),0)</f>
        <v>0</v>
      </c>
      <c r="AM165" s="17" t="n">
        <f aca="false">AF165</f>
        <v>0</v>
      </c>
      <c r="AN165" s="26" t="str">
        <f aca="false">IF(AM165="","",SUMIF($AD$5:$AD$220,"="&amp;AM165,$AJ$5:$AJ$220))</f>
        <v/>
      </c>
      <c r="AO165" s="26" t="e">
        <f aca="false">IF(AG165&gt;=0,IF(AN165&gt;=0,AG165-AN165,0),0)</f>
        <v>#VALUE!</v>
      </c>
      <c r="AQ165" s="27" t="n">
        <f aca="false">Z165</f>
        <v>0</v>
      </c>
      <c r="AR165" s="17" t="n">
        <f aca="false">AA165</f>
        <v>0</v>
      </c>
      <c r="AS165" s="26" t="str">
        <f aca="false">IF(AQ165="","",IF(AR165="",SUMIF($B$5:$B$220,"="&amp;AQ165,$AJ$5:$AJ$220),SUMIFS($AJ$5:$AJ$220, $B$5:$B$220, "="&amp;AQ165, $C$5:$C$220,"="&amp;AR165)))</f>
        <v/>
      </c>
      <c r="AT165" s="31" t="str">
        <f aca="false">IF(AU165&gt;0,"anular",IF(AU165&lt;0,"reforçar","nenhuma"))</f>
        <v>nenhuma</v>
      </c>
      <c r="AU165" s="26" t="n">
        <f aca="false">IF(AB165&gt;0,IF(AS165&gt;=0,AB165-AS165,0),0)</f>
        <v>0</v>
      </c>
    </row>
    <row r="166" customFormat="false" ht="15" hidden="false" customHeight="false" outlineLevel="0" collapsed="false">
      <c r="A166" s="15" t="n">
        <v>162</v>
      </c>
      <c r="B166" s="17"/>
      <c r="C166" s="17"/>
      <c r="D166" s="17"/>
      <c r="E166" s="17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R166" s="21" t="n">
        <f aca="false">IF(SUM(F166:P166)&gt;0,ROUND(AVERAGE(F166:P166),4),0)</f>
        <v>0</v>
      </c>
      <c r="T166" s="22" t="n">
        <v>0</v>
      </c>
      <c r="V166" s="29"/>
      <c r="X166" s="26" t="n">
        <f aca="false">IF(T166&gt;0,T166,R166)*V166</f>
        <v>0</v>
      </c>
      <c r="Z166" s="27"/>
      <c r="AA166" s="17"/>
      <c r="AB166" s="26" t="n">
        <f aca="false">IF(Z166="",0,IF(AA166="",SUMIF($B$5:$B$220,"="&amp;Z166,$X$5:$X$220),SUMIFS($X$5:$X$220, $B$5:$B$220, "="&amp;Z166, $C$5:$C$220,"="&amp;AA166)))</f>
        <v>0</v>
      </c>
      <c r="AD166" s="29"/>
      <c r="AF166" s="17"/>
      <c r="AG166" s="26" t="n">
        <f aca="false">IF(AF166="",0,SUMIF($AD$5:$AD$220,"="&amp;AF166,$X$5:$X$220))</f>
        <v>0</v>
      </c>
      <c r="AI166" s="20"/>
      <c r="AJ166" s="26" t="n">
        <f aca="false">AI166*V166</f>
        <v>0</v>
      </c>
      <c r="AK166" s="30" t="n">
        <f aca="false">IF(X166&gt;0,IF(AJ166&gt;=0,AJ166-X166,0),0)</f>
        <v>0</v>
      </c>
      <c r="AM166" s="17" t="n">
        <f aca="false">AF166</f>
        <v>0</v>
      </c>
      <c r="AN166" s="26" t="str">
        <f aca="false">IF(AM166="","",SUMIF($AD$5:$AD$220,"="&amp;AM166,$AJ$5:$AJ$220))</f>
        <v/>
      </c>
      <c r="AO166" s="26" t="e">
        <f aca="false">IF(AG166&gt;=0,IF(AN166&gt;=0,AG166-AN166,0),0)</f>
        <v>#VALUE!</v>
      </c>
      <c r="AQ166" s="27" t="n">
        <f aca="false">Z166</f>
        <v>0</v>
      </c>
      <c r="AR166" s="17" t="n">
        <f aca="false">AA166</f>
        <v>0</v>
      </c>
      <c r="AS166" s="26" t="str">
        <f aca="false">IF(AQ166="","",IF(AR166="",SUMIF($B$5:$B$220,"="&amp;AQ166,$AJ$5:$AJ$220),SUMIFS($AJ$5:$AJ$220, $B$5:$B$220, "="&amp;AQ166, $C$5:$C$220,"="&amp;AR166)))</f>
        <v/>
      </c>
      <c r="AT166" s="31" t="str">
        <f aca="false">IF(AU166&gt;0,"anular",IF(AU166&lt;0,"reforçar","nenhuma"))</f>
        <v>nenhuma</v>
      </c>
      <c r="AU166" s="26" t="n">
        <f aca="false">IF(AB166&gt;0,IF(AS166&gt;=0,AB166-AS166,0),0)</f>
        <v>0</v>
      </c>
    </row>
    <row r="167" customFormat="false" ht="15" hidden="false" customHeight="false" outlineLevel="0" collapsed="false">
      <c r="A167" s="15" t="n">
        <v>163</v>
      </c>
      <c r="B167" s="17"/>
      <c r="C167" s="17"/>
      <c r="D167" s="17"/>
      <c r="E167" s="17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R167" s="21" t="n">
        <f aca="false">IF(SUM(F167:P167)&gt;0,ROUND(AVERAGE(F167:P167),4),0)</f>
        <v>0</v>
      </c>
      <c r="T167" s="22" t="n">
        <v>0</v>
      </c>
      <c r="V167" s="29"/>
      <c r="X167" s="26" t="n">
        <f aca="false">IF(T167&gt;0,T167,R167)*V167</f>
        <v>0</v>
      </c>
      <c r="Z167" s="27"/>
      <c r="AA167" s="17"/>
      <c r="AB167" s="26" t="n">
        <f aca="false">IF(Z167="",0,IF(AA167="",SUMIF($B$5:$B$220,"="&amp;Z167,$X$5:$X$220),SUMIFS($X$5:$X$220, $B$5:$B$220, "="&amp;Z167, $C$5:$C$220,"="&amp;AA167)))</f>
        <v>0</v>
      </c>
      <c r="AD167" s="29"/>
      <c r="AF167" s="17"/>
      <c r="AG167" s="26" t="n">
        <f aca="false">IF(AF167="",0,SUMIF($AD$5:$AD$220,"="&amp;AF167,$X$5:$X$220))</f>
        <v>0</v>
      </c>
      <c r="AI167" s="20"/>
      <c r="AJ167" s="26" t="n">
        <f aca="false">AI167*V167</f>
        <v>0</v>
      </c>
      <c r="AK167" s="30" t="n">
        <f aca="false">IF(X167&gt;0,IF(AJ167&gt;=0,AJ167-X167,0),0)</f>
        <v>0</v>
      </c>
      <c r="AM167" s="17" t="n">
        <f aca="false">AF167</f>
        <v>0</v>
      </c>
      <c r="AN167" s="26" t="str">
        <f aca="false">IF(AM167="","",SUMIF($AD$5:$AD$220,"="&amp;AM167,$AJ$5:$AJ$220))</f>
        <v/>
      </c>
      <c r="AO167" s="26" t="e">
        <f aca="false">IF(AG167&gt;=0,IF(AN167&gt;=0,AG167-AN167,0),0)</f>
        <v>#VALUE!</v>
      </c>
      <c r="AQ167" s="27" t="n">
        <f aca="false">Z167</f>
        <v>0</v>
      </c>
      <c r="AR167" s="17" t="n">
        <f aca="false">AA167</f>
        <v>0</v>
      </c>
      <c r="AS167" s="26" t="str">
        <f aca="false">IF(AQ167="","",IF(AR167="",SUMIF($B$5:$B$220,"="&amp;AQ167,$AJ$5:$AJ$220),SUMIFS($AJ$5:$AJ$220, $B$5:$B$220, "="&amp;AQ167, $C$5:$C$220,"="&amp;AR167)))</f>
        <v/>
      </c>
      <c r="AT167" s="31" t="str">
        <f aca="false">IF(AU167&gt;0,"anular",IF(AU167&lt;0,"reforçar","nenhuma"))</f>
        <v>nenhuma</v>
      </c>
      <c r="AU167" s="26" t="n">
        <f aca="false">IF(AB167&gt;0,IF(AS167&gt;=0,AB167-AS167,0),0)</f>
        <v>0</v>
      </c>
    </row>
    <row r="168" customFormat="false" ht="15" hidden="false" customHeight="false" outlineLevel="0" collapsed="false">
      <c r="A168" s="15" t="n">
        <v>164</v>
      </c>
      <c r="B168" s="17"/>
      <c r="C168" s="17"/>
      <c r="D168" s="17"/>
      <c r="E168" s="17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R168" s="21" t="n">
        <f aca="false">IF(SUM(F168:P168)&gt;0,ROUND(AVERAGE(F168:P168),4),0)</f>
        <v>0</v>
      </c>
      <c r="T168" s="22" t="n">
        <v>0</v>
      </c>
      <c r="V168" s="29"/>
      <c r="X168" s="26" t="n">
        <f aca="false">IF(T168&gt;0,T168,R168)*V168</f>
        <v>0</v>
      </c>
      <c r="Z168" s="27"/>
      <c r="AA168" s="17"/>
      <c r="AB168" s="26" t="n">
        <f aca="false">IF(Z168="",0,IF(AA168="",SUMIF($B$5:$B$220,"="&amp;Z168,$X$5:$X$220),SUMIFS($X$5:$X$220, $B$5:$B$220, "="&amp;Z168, $C$5:$C$220,"="&amp;AA168)))</f>
        <v>0</v>
      </c>
      <c r="AD168" s="29"/>
      <c r="AF168" s="17"/>
      <c r="AG168" s="26" t="n">
        <f aca="false">IF(AF168="",0,SUMIF($AD$5:$AD$220,"="&amp;AF168,$X$5:$X$220))</f>
        <v>0</v>
      </c>
      <c r="AI168" s="20"/>
      <c r="AJ168" s="26" t="n">
        <f aca="false">AI168*V168</f>
        <v>0</v>
      </c>
      <c r="AK168" s="30" t="n">
        <f aca="false">IF(X168&gt;0,IF(AJ168&gt;=0,AJ168-X168,0),0)</f>
        <v>0</v>
      </c>
      <c r="AM168" s="17" t="n">
        <f aca="false">AF168</f>
        <v>0</v>
      </c>
      <c r="AN168" s="26" t="str">
        <f aca="false">IF(AM168="","",SUMIF($AD$5:$AD$220,"="&amp;AM168,$AJ$5:$AJ$220))</f>
        <v/>
      </c>
      <c r="AO168" s="26" t="e">
        <f aca="false">IF(AG168&gt;=0,IF(AN168&gt;=0,AG168-AN168,0),0)</f>
        <v>#VALUE!</v>
      </c>
      <c r="AQ168" s="27" t="n">
        <f aca="false">Z168</f>
        <v>0</v>
      </c>
      <c r="AR168" s="17" t="n">
        <f aca="false">AA168</f>
        <v>0</v>
      </c>
      <c r="AS168" s="26" t="str">
        <f aca="false">IF(AQ168="","",IF(AR168="",SUMIF($B$5:$B$220,"="&amp;AQ168,$AJ$5:$AJ$220),SUMIFS($AJ$5:$AJ$220, $B$5:$B$220, "="&amp;AQ168, $C$5:$C$220,"="&amp;AR168)))</f>
        <v/>
      </c>
      <c r="AT168" s="31" t="str">
        <f aca="false">IF(AU168&gt;0,"anular",IF(AU168&lt;0,"reforçar","nenhuma"))</f>
        <v>nenhuma</v>
      </c>
      <c r="AU168" s="26" t="n">
        <f aca="false">IF(AB168&gt;0,IF(AS168&gt;=0,AB168-AS168,0),0)</f>
        <v>0</v>
      </c>
    </row>
    <row r="169" customFormat="false" ht="15" hidden="false" customHeight="false" outlineLevel="0" collapsed="false">
      <c r="A169" s="15" t="n">
        <v>165</v>
      </c>
      <c r="B169" s="17"/>
      <c r="C169" s="17"/>
      <c r="D169" s="17"/>
      <c r="E169" s="17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R169" s="21" t="n">
        <f aca="false">IF(SUM(F169:P169)&gt;0,ROUND(AVERAGE(F169:P169),4),0)</f>
        <v>0</v>
      </c>
      <c r="T169" s="22" t="n">
        <v>0</v>
      </c>
      <c r="V169" s="29"/>
      <c r="X169" s="26" t="n">
        <f aca="false">IF(T169&gt;0,T169,R169)*V169</f>
        <v>0</v>
      </c>
      <c r="Z169" s="27"/>
      <c r="AA169" s="17"/>
      <c r="AB169" s="26" t="n">
        <f aca="false">IF(Z169="",0,IF(AA169="",SUMIF($B$5:$B$220,"="&amp;Z169,$X$5:$X$220),SUMIFS($X$5:$X$220, $B$5:$B$220, "="&amp;Z169, $C$5:$C$220,"="&amp;AA169)))</f>
        <v>0</v>
      </c>
      <c r="AD169" s="29"/>
      <c r="AF169" s="17"/>
      <c r="AG169" s="26" t="n">
        <f aca="false">IF(AF169="",0,SUMIF($AD$5:$AD$220,"="&amp;AF169,$X$5:$X$220))</f>
        <v>0</v>
      </c>
      <c r="AI169" s="20"/>
      <c r="AJ169" s="26" t="n">
        <f aca="false">AI169*V169</f>
        <v>0</v>
      </c>
      <c r="AK169" s="30" t="n">
        <f aca="false">IF(X169&gt;0,IF(AJ169&gt;=0,AJ169-X169,0),0)</f>
        <v>0</v>
      </c>
      <c r="AM169" s="17" t="n">
        <f aca="false">AF169</f>
        <v>0</v>
      </c>
      <c r="AN169" s="26" t="str">
        <f aca="false">IF(AM169="","",SUMIF($AD$5:$AD$220,"="&amp;AM169,$AJ$5:$AJ$220))</f>
        <v/>
      </c>
      <c r="AO169" s="26" t="e">
        <f aca="false">IF(AG169&gt;=0,IF(AN169&gt;=0,AG169-AN169,0),0)</f>
        <v>#VALUE!</v>
      </c>
      <c r="AQ169" s="27" t="n">
        <f aca="false">Z169</f>
        <v>0</v>
      </c>
      <c r="AR169" s="17" t="n">
        <f aca="false">AA169</f>
        <v>0</v>
      </c>
      <c r="AS169" s="26" t="str">
        <f aca="false">IF(AQ169="","",IF(AR169="",SUMIF($B$5:$B$220,"="&amp;AQ169,$AJ$5:$AJ$220),SUMIFS($AJ$5:$AJ$220, $B$5:$B$220, "="&amp;AQ169, $C$5:$C$220,"="&amp;AR169)))</f>
        <v/>
      </c>
      <c r="AT169" s="31" t="str">
        <f aca="false">IF(AU169&gt;0,"anular",IF(AU169&lt;0,"reforçar","nenhuma"))</f>
        <v>nenhuma</v>
      </c>
      <c r="AU169" s="26" t="n">
        <f aca="false">IF(AB169&gt;0,IF(AS169&gt;=0,AB169-AS169,0),0)</f>
        <v>0</v>
      </c>
    </row>
    <row r="170" customFormat="false" ht="15" hidden="false" customHeight="false" outlineLevel="0" collapsed="false">
      <c r="A170" s="15" t="n">
        <v>166</v>
      </c>
      <c r="B170" s="17"/>
      <c r="C170" s="17"/>
      <c r="D170" s="17"/>
      <c r="E170" s="17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R170" s="21" t="n">
        <f aca="false">IF(SUM(F170:P170)&gt;0,ROUND(AVERAGE(F170:P170),4),0)</f>
        <v>0</v>
      </c>
      <c r="T170" s="22" t="n">
        <v>0</v>
      </c>
      <c r="V170" s="29"/>
      <c r="X170" s="26" t="n">
        <f aca="false">IF(T170&gt;0,T170,R170)*V170</f>
        <v>0</v>
      </c>
      <c r="Z170" s="27"/>
      <c r="AA170" s="17"/>
      <c r="AB170" s="26" t="n">
        <f aca="false">IF(Z170="",0,IF(AA170="",SUMIF($B$5:$B$220,"="&amp;Z170,$X$5:$X$220),SUMIFS($X$5:$X$220, $B$5:$B$220, "="&amp;Z170, $C$5:$C$220,"="&amp;AA170)))</f>
        <v>0</v>
      </c>
      <c r="AD170" s="29"/>
      <c r="AF170" s="17"/>
      <c r="AG170" s="26" t="n">
        <f aca="false">IF(AF170="",0,SUMIF($AD$5:$AD$220,"="&amp;AF170,$X$5:$X$220))</f>
        <v>0</v>
      </c>
      <c r="AI170" s="20"/>
      <c r="AJ170" s="26" t="n">
        <f aca="false">AI170*V170</f>
        <v>0</v>
      </c>
      <c r="AK170" s="30" t="n">
        <f aca="false">IF(X170&gt;0,IF(AJ170&gt;=0,AJ170-X170,0),0)</f>
        <v>0</v>
      </c>
      <c r="AM170" s="17" t="n">
        <f aca="false">AF170</f>
        <v>0</v>
      </c>
      <c r="AN170" s="26" t="str">
        <f aca="false">IF(AM170="","",SUMIF($AD$5:$AD$220,"="&amp;AM170,$AJ$5:$AJ$220))</f>
        <v/>
      </c>
      <c r="AO170" s="26" t="e">
        <f aca="false">IF(AG170&gt;=0,IF(AN170&gt;=0,AG170-AN170,0),0)</f>
        <v>#VALUE!</v>
      </c>
      <c r="AQ170" s="27" t="n">
        <f aca="false">Z170</f>
        <v>0</v>
      </c>
      <c r="AR170" s="17" t="n">
        <f aca="false">AA170</f>
        <v>0</v>
      </c>
      <c r="AS170" s="26" t="str">
        <f aca="false">IF(AQ170="","",IF(AR170="",SUMIF($B$5:$B$220,"="&amp;AQ170,$AJ$5:$AJ$220),SUMIFS($AJ$5:$AJ$220, $B$5:$B$220, "="&amp;AQ170, $C$5:$C$220,"="&amp;AR170)))</f>
        <v/>
      </c>
      <c r="AT170" s="31" t="str">
        <f aca="false">IF(AU170&gt;0,"anular",IF(AU170&lt;0,"reforçar","nenhuma"))</f>
        <v>nenhuma</v>
      </c>
      <c r="AU170" s="26" t="n">
        <f aca="false">IF(AB170&gt;0,IF(AS170&gt;=0,AB170-AS170,0),0)</f>
        <v>0</v>
      </c>
    </row>
    <row r="171" customFormat="false" ht="15" hidden="false" customHeight="false" outlineLevel="0" collapsed="false">
      <c r="A171" s="15" t="n">
        <v>167</v>
      </c>
      <c r="B171" s="17"/>
      <c r="C171" s="17"/>
      <c r="D171" s="17"/>
      <c r="E171" s="17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R171" s="21" t="n">
        <f aca="false">IF(SUM(F171:P171)&gt;0,ROUND(AVERAGE(F171:P171),4),0)</f>
        <v>0</v>
      </c>
      <c r="T171" s="22" t="n">
        <v>0</v>
      </c>
      <c r="V171" s="29"/>
      <c r="X171" s="26" t="n">
        <f aca="false">IF(T171&gt;0,T171,R171)*V171</f>
        <v>0</v>
      </c>
      <c r="Z171" s="27"/>
      <c r="AA171" s="17"/>
      <c r="AB171" s="26" t="n">
        <f aca="false">IF(Z171="",0,IF(AA171="",SUMIF($B$5:$B$220,"="&amp;Z171,$X$5:$X$220),SUMIFS($X$5:$X$220, $B$5:$B$220, "="&amp;Z171, $C$5:$C$220,"="&amp;AA171)))</f>
        <v>0</v>
      </c>
      <c r="AD171" s="29"/>
      <c r="AF171" s="17"/>
      <c r="AG171" s="26" t="n">
        <f aca="false">IF(AF171="",0,SUMIF($AD$5:$AD$220,"="&amp;AF171,$X$5:$X$220))</f>
        <v>0</v>
      </c>
      <c r="AI171" s="20"/>
      <c r="AJ171" s="26" t="n">
        <f aca="false">AI171*V171</f>
        <v>0</v>
      </c>
      <c r="AK171" s="30" t="n">
        <f aca="false">IF(X171&gt;0,IF(AJ171&gt;=0,AJ171-X171,0),0)</f>
        <v>0</v>
      </c>
      <c r="AM171" s="17" t="n">
        <f aca="false">AF171</f>
        <v>0</v>
      </c>
      <c r="AN171" s="26" t="str">
        <f aca="false">IF(AM171="","",SUMIF($AD$5:$AD$220,"="&amp;AM171,$AJ$5:$AJ$220))</f>
        <v/>
      </c>
      <c r="AO171" s="26" t="e">
        <f aca="false">IF(AG171&gt;=0,IF(AN171&gt;=0,AG171-AN171,0),0)</f>
        <v>#VALUE!</v>
      </c>
      <c r="AQ171" s="27" t="n">
        <f aca="false">Z171</f>
        <v>0</v>
      </c>
      <c r="AR171" s="17" t="n">
        <f aca="false">AA171</f>
        <v>0</v>
      </c>
      <c r="AS171" s="26" t="str">
        <f aca="false">IF(AQ171="","",IF(AR171="",SUMIF($B$5:$B$220,"="&amp;AQ171,$AJ$5:$AJ$220),SUMIFS($AJ$5:$AJ$220, $B$5:$B$220, "="&amp;AQ171, $C$5:$C$220,"="&amp;AR171)))</f>
        <v/>
      </c>
      <c r="AT171" s="31" t="str">
        <f aca="false">IF(AU171&gt;0,"anular",IF(AU171&lt;0,"reforçar","nenhuma"))</f>
        <v>nenhuma</v>
      </c>
      <c r="AU171" s="26" t="n">
        <f aca="false">IF(AB171&gt;0,IF(AS171&gt;=0,AB171-AS171,0),0)</f>
        <v>0</v>
      </c>
    </row>
    <row r="172" customFormat="false" ht="15" hidden="false" customHeight="false" outlineLevel="0" collapsed="false">
      <c r="A172" s="15" t="n">
        <v>168</v>
      </c>
      <c r="B172" s="17"/>
      <c r="C172" s="17"/>
      <c r="D172" s="17"/>
      <c r="E172" s="17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R172" s="21" t="n">
        <f aca="false">IF(SUM(F172:P172)&gt;0,ROUND(AVERAGE(F172:P172),4),0)</f>
        <v>0</v>
      </c>
      <c r="T172" s="22" t="n">
        <v>0</v>
      </c>
      <c r="V172" s="29"/>
      <c r="X172" s="26" t="n">
        <f aca="false">IF(T172&gt;0,T172,R172)*V172</f>
        <v>0</v>
      </c>
      <c r="Z172" s="27"/>
      <c r="AA172" s="17"/>
      <c r="AB172" s="26" t="n">
        <f aca="false">IF(Z172="",0,IF(AA172="",SUMIF($B$5:$B$220,"="&amp;Z172,$X$5:$X$220),SUMIFS($X$5:$X$220, $B$5:$B$220, "="&amp;Z172, $C$5:$C$220,"="&amp;AA172)))</f>
        <v>0</v>
      </c>
      <c r="AD172" s="29"/>
      <c r="AF172" s="17"/>
      <c r="AG172" s="26" t="n">
        <f aca="false">IF(AF172="",0,SUMIF($AD$5:$AD$220,"="&amp;AF172,$X$5:$X$220))</f>
        <v>0</v>
      </c>
      <c r="AI172" s="20"/>
      <c r="AJ172" s="26" t="n">
        <f aca="false">AI172*V172</f>
        <v>0</v>
      </c>
      <c r="AK172" s="30" t="n">
        <f aca="false">IF(X172&gt;0,IF(AJ172&gt;=0,AJ172-X172,0),0)</f>
        <v>0</v>
      </c>
      <c r="AM172" s="17" t="n">
        <f aca="false">AF172</f>
        <v>0</v>
      </c>
      <c r="AN172" s="26" t="str">
        <f aca="false">IF(AM172="","",SUMIF($AD$5:$AD$220,"="&amp;AM172,$AJ$5:$AJ$220))</f>
        <v/>
      </c>
      <c r="AO172" s="26" t="e">
        <f aca="false">IF(AG172&gt;=0,IF(AN172&gt;=0,AG172-AN172,0),0)</f>
        <v>#VALUE!</v>
      </c>
      <c r="AQ172" s="27" t="n">
        <f aca="false">Z172</f>
        <v>0</v>
      </c>
      <c r="AR172" s="17" t="n">
        <f aca="false">AA172</f>
        <v>0</v>
      </c>
      <c r="AS172" s="26" t="str">
        <f aca="false">IF(AQ172="","",IF(AR172="",SUMIF($B$5:$B$220,"="&amp;AQ172,$AJ$5:$AJ$220),SUMIFS($AJ$5:$AJ$220, $B$5:$B$220, "="&amp;AQ172, $C$5:$C$220,"="&amp;AR172)))</f>
        <v/>
      </c>
      <c r="AT172" s="31" t="str">
        <f aca="false">IF(AU172&gt;0,"anular",IF(AU172&lt;0,"reforçar","nenhuma"))</f>
        <v>nenhuma</v>
      </c>
      <c r="AU172" s="26" t="n">
        <f aca="false">IF(AB172&gt;0,IF(AS172&gt;=0,AB172-AS172,0),0)</f>
        <v>0</v>
      </c>
    </row>
    <row r="173" customFormat="false" ht="15" hidden="false" customHeight="false" outlineLevel="0" collapsed="false">
      <c r="A173" s="15" t="n">
        <v>169</v>
      </c>
      <c r="B173" s="17"/>
      <c r="C173" s="17"/>
      <c r="D173" s="17"/>
      <c r="E173" s="17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R173" s="21" t="n">
        <f aca="false">IF(SUM(F173:P173)&gt;0,ROUND(AVERAGE(F173:P173),4),0)</f>
        <v>0</v>
      </c>
      <c r="T173" s="22" t="n">
        <v>0</v>
      </c>
      <c r="V173" s="29"/>
      <c r="X173" s="26" t="n">
        <f aca="false">IF(T173&gt;0,T173,R173)*V173</f>
        <v>0</v>
      </c>
      <c r="Z173" s="27"/>
      <c r="AA173" s="17"/>
      <c r="AB173" s="26" t="n">
        <f aca="false">IF(Z173="",0,IF(AA173="",SUMIF($B$5:$B$220,"="&amp;Z173,$X$5:$X$220),SUMIFS($X$5:$X$220, $B$5:$B$220, "="&amp;Z173, $C$5:$C$220,"="&amp;AA173)))</f>
        <v>0</v>
      </c>
      <c r="AD173" s="29"/>
      <c r="AF173" s="17"/>
      <c r="AG173" s="26" t="n">
        <f aca="false">IF(AF173="",0,SUMIF($AD$5:$AD$220,"="&amp;AF173,$X$5:$X$220))</f>
        <v>0</v>
      </c>
      <c r="AI173" s="20"/>
      <c r="AJ173" s="26" t="n">
        <f aca="false">AI173*V173</f>
        <v>0</v>
      </c>
      <c r="AK173" s="30" t="n">
        <f aca="false">IF(X173&gt;0,IF(AJ173&gt;=0,AJ173-X173,0),0)</f>
        <v>0</v>
      </c>
      <c r="AM173" s="17" t="n">
        <f aca="false">AF173</f>
        <v>0</v>
      </c>
      <c r="AN173" s="26" t="str">
        <f aca="false">IF(AM173="","",SUMIF($AD$5:$AD$220,"="&amp;AM173,$AJ$5:$AJ$220))</f>
        <v/>
      </c>
      <c r="AO173" s="26" t="e">
        <f aca="false">IF(AG173&gt;=0,IF(AN173&gt;=0,AG173-AN173,0),0)</f>
        <v>#VALUE!</v>
      </c>
      <c r="AQ173" s="27" t="n">
        <f aca="false">Z173</f>
        <v>0</v>
      </c>
      <c r="AR173" s="17" t="n">
        <f aca="false">AA173</f>
        <v>0</v>
      </c>
      <c r="AS173" s="26" t="str">
        <f aca="false">IF(AQ173="","",IF(AR173="",SUMIF($B$5:$B$220,"="&amp;AQ173,$AJ$5:$AJ$220),SUMIFS($AJ$5:$AJ$220, $B$5:$B$220, "="&amp;AQ173, $C$5:$C$220,"="&amp;AR173)))</f>
        <v/>
      </c>
      <c r="AT173" s="31" t="str">
        <f aca="false">IF(AU173&gt;0,"anular",IF(AU173&lt;0,"reforçar","nenhuma"))</f>
        <v>nenhuma</v>
      </c>
      <c r="AU173" s="26" t="n">
        <f aca="false">IF(AB173&gt;0,IF(AS173&gt;=0,AB173-AS173,0),0)</f>
        <v>0</v>
      </c>
    </row>
    <row r="174" customFormat="false" ht="15" hidden="false" customHeight="false" outlineLevel="0" collapsed="false">
      <c r="A174" s="15" t="n">
        <v>170</v>
      </c>
      <c r="B174" s="17"/>
      <c r="C174" s="17"/>
      <c r="D174" s="17"/>
      <c r="E174" s="17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R174" s="21" t="n">
        <f aca="false">IF(SUM(F174:P174)&gt;0,ROUND(AVERAGE(F174:P174),4),0)</f>
        <v>0</v>
      </c>
      <c r="T174" s="22" t="n">
        <v>0</v>
      </c>
      <c r="V174" s="29"/>
      <c r="X174" s="26" t="n">
        <f aca="false">IF(T174&gt;0,T174,R174)*V174</f>
        <v>0</v>
      </c>
      <c r="Z174" s="27"/>
      <c r="AA174" s="17"/>
      <c r="AB174" s="26" t="n">
        <f aca="false">IF(Z174="",0,IF(AA174="",SUMIF($B$5:$B$220,"="&amp;Z174,$X$5:$X$220),SUMIFS($X$5:$X$220, $B$5:$B$220, "="&amp;Z174, $C$5:$C$220,"="&amp;AA174)))</f>
        <v>0</v>
      </c>
      <c r="AD174" s="29"/>
      <c r="AF174" s="17"/>
      <c r="AG174" s="26" t="n">
        <f aca="false">IF(AF174="",0,SUMIF($AD$5:$AD$220,"="&amp;AF174,$X$5:$X$220))</f>
        <v>0</v>
      </c>
      <c r="AI174" s="20"/>
      <c r="AJ174" s="26" t="n">
        <f aca="false">AI174*V174</f>
        <v>0</v>
      </c>
      <c r="AK174" s="30" t="n">
        <f aca="false">IF(X174&gt;0,IF(AJ174&gt;=0,AJ174-X174,0),0)</f>
        <v>0</v>
      </c>
      <c r="AM174" s="17" t="n">
        <f aca="false">AF174</f>
        <v>0</v>
      </c>
      <c r="AN174" s="26" t="str">
        <f aca="false">IF(AM174="","",SUMIF($AD$5:$AD$220,"="&amp;AM174,$AJ$5:$AJ$220))</f>
        <v/>
      </c>
      <c r="AO174" s="26" t="e">
        <f aca="false">IF(AG174&gt;=0,IF(AN174&gt;=0,AG174-AN174,0),0)</f>
        <v>#VALUE!</v>
      </c>
      <c r="AQ174" s="27" t="n">
        <f aca="false">Z174</f>
        <v>0</v>
      </c>
      <c r="AR174" s="17" t="n">
        <f aca="false">AA174</f>
        <v>0</v>
      </c>
      <c r="AS174" s="26" t="str">
        <f aca="false">IF(AQ174="","",IF(AR174="",SUMIF($B$5:$B$220,"="&amp;AQ174,$AJ$5:$AJ$220),SUMIFS($AJ$5:$AJ$220, $B$5:$B$220, "="&amp;AQ174, $C$5:$C$220,"="&amp;AR174)))</f>
        <v/>
      </c>
      <c r="AT174" s="31" t="str">
        <f aca="false">IF(AU174&gt;0,"anular",IF(AU174&lt;0,"reforçar","nenhuma"))</f>
        <v>nenhuma</v>
      </c>
      <c r="AU174" s="26" t="n">
        <f aca="false">IF(AB174&gt;0,IF(AS174&gt;=0,AB174-AS174,0),0)</f>
        <v>0</v>
      </c>
    </row>
    <row r="175" customFormat="false" ht="15" hidden="false" customHeight="false" outlineLevel="0" collapsed="false">
      <c r="A175" s="15" t="n">
        <v>171</v>
      </c>
      <c r="B175" s="17"/>
      <c r="C175" s="17"/>
      <c r="D175" s="17"/>
      <c r="E175" s="17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R175" s="21" t="n">
        <f aca="false">IF(SUM(F175:P175)&gt;0,ROUND(AVERAGE(F175:P175),4),0)</f>
        <v>0</v>
      </c>
      <c r="T175" s="22" t="n">
        <v>0</v>
      </c>
      <c r="V175" s="29"/>
      <c r="X175" s="26" t="n">
        <f aca="false">IF(T175&gt;0,T175,R175)*V175</f>
        <v>0</v>
      </c>
      <c r="Z175" s="27"/>
      <c r="AA175" s="17"/>
      <c r="AB175" s="26" t="n">
        <f aca="false">IF(Z175="",0,IF(AA175="",SUMIF($B$5:$B$220,"="&amp;Z175,$X$5:$X$220),SUMIFS($X$5:$X$220, $B$5:$B$220, "="&amp;Z175, $C$5:$C$220,"="&amp;AA175)))</f>
        <v>0</v>
      </c>
      <c r="AD175" s="29"/>
      <c r="AF175" s="17"/>
      <c r="AG175" s="26" t="n">
        <f aca="false">IF(AF175="",0,SUMIF($AD$5:$AD$220,"="&amp;AF175,$X$5:$X$220))</f>
        <v>0</v>
      </c>
      <c r="AI175" s="20"/>
      <c r="AJ175" s="26" t="n">
        <f aca="false">AI175*V175</f>
        <v>0</v>
      </c>
      <c r="AK175" s="30" t="n">
        <f aca="false">IF(X175&gt;0,IF(AJ175&gt;=0,AJ175-X175,0),0)</f>
        <v>0</v>
      </c>
      <c r="AM175" s="17" t="n">
        <f aca="false">AF175</f>
        <v>0</v>
      </c>
      <c r="AN175" s="26" t="str">
        <f aca="false">IF(AM175="","",SUMIF($AD$5:$AD$220,"="&amp;AM175,$AJ$5:$AJ$220))</f>
        <v/>
      </c>
      <c r="AO175" s="26" t="e">
        <f aca="false">IF(AG175&gt;=0,IF(AN175&gt;=0,AG175-AN175,0),0)</f>
        <v>#VALUE!</v>
      </c>
      <c r="AQ175" s="27" t="n">
        <f aca="false">Z175</f>
        <v>0</v>
      </c>
      <c r="AR175" s="17" t="n">
        <f aca="false">AA175</f>
        <v>0</v>
      </c>
      <c r="AS175" s="26" t="str">
        <f aca="false">IF(AQ175="","",IF(AR175="",SUMIF($B$5:$B$220,"="&amp;AQ175,$AJ$5:$AJ$220),SUMIFS($AJ$5:$AJ$220, $B$5:$B$220, "="&amp;AQ175, $C$5:$C$220,"="&amp;AR175)))</f>
        <v/>
      </c>
      <c r="AT175" s="31" t="str">
        <f aca="false">IF(AU175&gt;0,"anular",IF(AU175&lt;0,"reforçar","nenhuma"))</f>
        <v>nenhuma</v>
      </c>
      <c r="AU175" s="26" t="n">
        <f aca="false">IF(AB175&gt;0,IF(AS175&gt;=0,AB175-AS175,0),0)</f>
        <v>0</v>
      </c>
    </row>
    <row r="176" customFormat="false" ht="15" hidden="false" customHeight="false" outlineLevel="0" collapsed="false">
      <c r="A176" s="15" t="n">
        <v>172</v>
      </c>
      <c r="B176" s="17"/>
      <c r="C176" s="17"/>
      <c r="D176" s="17"/>
      <c r="E176" s="17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R176" s="21" t="n">
        <f aca="false">IF(SUM(F176:P176)&gt;0,ROUND(AVERAGE(F176:P176),4),0)</f>
        <v>0</v>
      </c>
      <c r="T176" s="22" t="n">
        <v>0</v>
      </c>
      <c r="V176" s="29"/>
      <c r="X176" s="26" t="n">
        <f aca="false">IF(T176&gt;0,T176,R176)*V176</f>
        <v>0</v>
      </c>
      <c r="Z176" s="27"/>
      <c r="AA176" s="17"/>
      <c r="AB176" s="26" t="n">
        <f aca="false">IF(Z176="",0,IF(AA176="",SUMIF($B$5:$B$220,"="&amp;Z176,$X$5:$X$220),SUMIFS($X$5:$X$220, $B$5:$B$220, "="&amp;Z176, $C$5:$C$220,"="&amp;AA176)))</f>
        <v>0</v>
      </c>
      <c r="AD176" s="29"/>
      <c r="AF176" s="17"/>
      <c r="AG176" s="26" t="n">
        <f aca="false">IF(AF176="",0,SUMIF($AD$5:$AD$220,"="&amp;AF176,$X$5:$X$220))</f>
        <v>0</v>
      </c>
      <c r="AI176" s="20"/>
      <c r="AJ176" s="26" t="n">
        <f aca="false">AI176*V176</f>
        <v>0</v>
      </c>
      <c r="AK176" s="30" t="n">
        <f aca="false">IF(X176&gt;0,IF(AJ176&gt;=0,AJ176-X176,0),0)</f>
        <v>0</v>
      </c>
      <c r="AM176" s="17" t="n">
        <f aca="false">AF176</f>
        <v>0</v>
      </c>
      <c r="AN176" s="26" t="str">
        <f aca="false">IF(AM176="","",SUMIF($AD$5:$AD$220,"="&amp;AM176,$AJ$5:$AJ$220))</f>
        <v/>
      </c>
      <c r="AO176" s="26" t="e">
        <f aca="false">IF(AG176&gt;=0,IF(AN176&gt;=0,AG176-AN176,0),0)</f>
        <v>#VALUE!</v>
      </c>
      <c r="AQ176" s="27" t="n">
        <f aca="false">Z176</f>
        <v>0</v>
      </c>
      <c r="AR176" s="17" t="n">
        <f aca="false">AA176</f>
        <v>0</v>
      </c>
      <c r="AS176" s="26" t="str">
        <f aca="false">IF(AQ176="","",IF(AR176="",SUMIF($B$5:$B$220,"="&amp;AQ176,$AJ$5:$AJ$220),SUMIFS($AJ$5:$AJ$220, $B$5:$B$220, "="&amp;AQ176, $C$5:$C$220,"="&amp;AR176)))</f>
        <v/>
      </c>
      <c r="AT176" s="31" t="str">
        <f aca="false">IF(AU176&gt;0,"anular",IF(AU176&lt;0,"reforçar","nenhuma"))</f>
        <v>nenhuma</v>
      </c>
      <c r="AU176" s="26" t="n">
        <f aca="false">IF(AB176&gt;0,IF(AS176&gt;=0,AB176-AS176,0),0)</f>
        <v>0</v>
      </c>
    </row>
    <row r="177" customFormat="false" ht="15" hidden="false" customHeight="false" outlineLevel="0" collapsed="false">
      <c r="A177" s="15" t="n">
        <v>173</v>
      </c>
      <c r="B177" s="17"/>
      <c r="C177" s="17"/>
      <c r="D177" s="17"/>
      <c r="E177" s="17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R177" s="21" t="n">
        <f aca="false">IF(SUM(F177:P177)&gt;0,ROUND(AVERAGE(F177:P177),4),0)</f>
        <v>0</v>
      </c>
      <c r="T177" s="22" t="n">
        <v>0</v>
      </c>
      <c r="V177" s="29"/>
      <c r="X177" s="26" t="n">
        <f aca="false">IF(T177&gt;0,T177,R177)*V177</f>
        <v>0</v>
      </c>
      <c r="Z177" s="27"/>
      <c r="AA177" s="17"/>
      <c r="AB177" s="26" t="n">
        <f aca="false">IF(Z177="",0,IF(AA177="",SUMIF($B$5:$B$220,"="&amp;Z177,$X$5:$X$220),SUMIFS($X$5:$X$220, $B$5:$B$220, "="&amp;Z177, $C$5:$C$220,"="&amp;AA177)))</f>
        <v>0</v>
      </c>
      <c r="AD177" s="29"/>
      <c r="AF177" s="17"/>
      <c r="AG177" s="26" t="n">
        <f aca="false">IF(AF177="",0,SUMIF($AD$5:$AD$220,"="&amp;AF177,$X$5:$X$220))</f>
        <v>0</v>
      </c>
      <c r="AI177" s="20"/>
      <c r="AJ177" s="26" t="n">
        <f aca="false">AI177*V177</f>
        <v>0</v>
      </c>
      <c r="AK177" s="30" t="n">
        <f aca="false">IF(X177&gt;0,IF(AJ177&gt;=0,AJ177-X177,0),0)</f>
        <v>0</v>
      </c>
      <c r="AM177" s="17" t="n">
        <f aca="false">AF177</f>
        <v>0</v>
      </c>
      <c r="AN177" s="26" t="str">
        <f aca="false">IF(AM177="","",SUMIF($AD$5:$AD$220,"="&amp;AM177,$AJ$5:$AJ$220))</f>
        <v/>
      </c>
      <c r="AO177" s="26" t="e">
        <f aca="false">IF(AG177&gt;=0,IF(AN177&gt;=0,AG177-AN177,0),0)</f>
        <v>#VALUE!</v>
      </c>
      <c r="AQ177" s="27" t="n">
        <f aca="false">Z177</f>
        <v>0</v>
      </c>
      <c r="AR177" s="17" t="n">
        <f aca="false">AA177</f>
        <v>0</v>
      </c>
      <c r="AS177" s="26" t="str">
        <f aca="false">IF(AQ177="","",IF(AR177="",SUMIF($B$5:$B$220,"="&amp;AQ177,$AJ$5:$AJ$220),SUMIFS($AJ$5:$AJ$220, $B$5:$B$220, "="&amp;AQ177, $C$5:$C$220,"="&amp;AR177)))</f>
        <v/>
      </c>
      <c r="AT177" s="31" t="str">
        <f aca="false">IF(AU177&gt;0,"anular",IF(AU177&lt;0,"reforçar","nenhuma"))</f>
        <v>nenhuma</v>
      </c>
      <c r="AU177" s="26" t="n">
        <f aca="false">IF(AB177&gt;0,IF(AS177&gt;=0,AB177-AS177,0),0)</f>
        <v>0</v>
      </c>
    </row>
    <row r="178" customFormat="false" ht="15" hidden="false" customHeight="false" outlineLevel="0" collapsed="false">
      <c r="A178" s="15" t="n">
        <v>174</v>
      </c>
      <c r="B178" s="17"/>
      <c r="C178" s="17"/>
      <c r="D178" s="17"/>
      <c r="E178" s="17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R178" s="21" t="n">
        <f aca="false">IF(SUM(F178:P178)&gt;0,ROUND(AVERAGE(F178:P178),4),0)</f>
        <v>0</v>
      </c>
      <c r="T178" s="22" t="n">
        <v>0</v>
      </c>
      <c r="V178" s="29"/>
      <c r="X178" s="26" t="n">
        <f aca="false">IF(T178&gt;0,T178,R178)*V178</f>
        <v>0</v>
      </c>
      <c r="Z178" s="27"/>
      <c r="AA178" s="17"/>
      <c r="AB178" s="26" t="n">
        <f aca="false">IF(Z178="",0,IF(AA178="",SUMIF($B$5:$B$220,"="&amp;Z178,$X$5:$X$220),SUMIFS($X$5:$X$220, $B$5:$B$220, "="&amp;Z178, $C$5:$C$220,"="&amp;AA178)))</f>
        <v>0</v>
      </c>
      <c r="AD178" s="29"/>
      <c r="AF178" s="17"/>
      <c r="AG178" s="26" t="n">
        <f aca="false">IF(AF178="",0,SUMIF($AD$5:$AD$220,"="&amp;AF178,$X$5:$X$220))</f>
        <v>0</v>
      </c>
      <c r="AI178" s="20"/>
      <c r="AJ178" s="26" t="n">
        <f aca="false">AI178*V178</f>
        <v>0</v>
      </c>
      <c r="AK178" s="30" t="n">
        <f aca="false">IF(X178&gt;0,IF(AJ178&gt;=0,AJ178-X178,0),0)</f>
        <v>0</v>
      </c>
      <c r="AM178" s="17" t="n">
        <f aca="false">AF178</f>
        <v>0</v>
      </c>
      <c r="AN178" s="26" t="str">
        <f aca="false">IF(AM178="","",SUMIF($AD$5:$AD$220,"="&amp;AM178,$AJ$5:$AJ$220))</f>
        <v/>
      </c>
      <c r="AO178" s="26" t="e">
        <f aca="false">IF(AG178&gt;=0,IF(AN178&gt;=0,AG178-AN178,0),0)</f>
        <v>#VALUE!</v>
      </c>
      <c r="AQ178" s="27" t="n">
        <f aca="false">Z178</f>
        <v>0</v>
      </c>
      <c r="AR178" s="17" t="n">
        <f aca="false">AA178</f>
        <v>0</v>
      </c>
      <c r="AS178" s="26" t="str">
        <f aca="false">IF(AQ178="","",IF(AR178="",SUMIF($B$5:$B$220,"="&amp;AQ178,$AJ$5:$AJ$220),SUMIFS($AJ$5:$AJ$220, $B$5:$B$220, "="&amp;AQ178, $C$5:$C$220,"="&amp;AR178)))</f>
        <v/>
      </c>
      <c r="AT178" s="31" t="str">
        <f aca="false">IF(AU178&gt;0,"anular",IF(AU178&lt;0,"reforçar","nenhuma"))</f>
        <v>nenhuma</v>
      </c>
      <c r="AU178" s="26" t="n">
        <f aca="false">IF(AB178&gt;0,IF(AS178&gt;=0,AB178-AS178,0),0)</f>
        <v>0</v>
      </c>
    </row>
    <row r="179" customFormat="false" ht="15" hidden="false" customHeight="false" outlineLevel="0" collapsed="false">
      <c r="A179" s="15" t="n">
        <v>175</v>
      </c>
      <c r="B179" s="17"/>
      <c r="C179" s="17"/>
      <c r="D179" s="17"/>
      <c r="E179" s="17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R179" s="21" t="n">
        <f aca="false">IF(SUM(F179:P179)&gt;0,ROUND(AVERAGE(F179:P179),4),0)</f>
        <v>0</v>
      </c>
      <c r="T179" s="22" t="n">
        <v>0</v>
      </c>
      <c r="V179" s="29"/>
      <c r="X179" s="26" t="n">
        <f aca="false">IF(T179&gt;0,T179,R179)*V179</f>
        <v>0</v>
      </c>
      <c r="Z179" s="27"/>
      <c r="AA179" s="17"/>
      <c r="AB179" s="26" t="n">
        <f aca="false">IF(Z179="",0,IF(AA179="",SUMIF($B$5:$B$220,"="&amp;Z179,$X$5:$X$220),SUMIFS($X$5:$X$220, $B$5:$B$220, "="&amp;Z179, $C$5:$C$220,"="&amp;AA179)))</f>
        <v>0</v>
      </c>
      <c r="AD179" s="29"/>
      <c r="AF179" s="17"/>
      <c r="AG179" s="26" t="n">
        <f aca="false">IF(AF179="",0,SUMIF($AD$5:$AD$220,"="&amp;AF179,$X$5:$X$220))</f>
        <v>0</v>
      </c>
      <c r="AI179" s="20"/>
      <c r="AJ179" s="26" t="n">
        <f aca="false">AI179*V179</f>
        <v>0</v>
      </c>
      <c r="AK179" s="30" t="n">
        <f aca="false">IF(X179&gt;0,IF(AJ179&gt;=0,AJ179-X179,0),0)</f>
        <v>0</v>
      </c>
      <c r="AM179" s="17" t="n">
        <f aca="false">AF179</f>
        <v>0</v>
      </c>
      <c r="AN179" s="26" t="str">
        <f aca="false">IF(AM179="","",SUMIF($AD$5:$AD$220,"="&amp;AM179,$AJ$5:$AJ$220))</f>
        <v/>
      </c>
      <c r="AO179" s="26" t="e">
        <f aca="false">IF(AG179&gt;=0,IF(AN179&gt;=0,AG179-AN179,0),0)</f>
        <v>#VALUE!</v>
      </c>
      <c r="AQ179" s="27" t="n">
        <f aca="false">Z179</f>
        <v>0</v>
      </c>
      <c r="AR179" s="17" t="n">
        <f aca="false">AA179</f>
        <v>0</v>
      </c>
      <c r="AS179" s="26" t="str">
        <f aca="false">IF(AQ179="","",IF(AR179="",SUMIF($B$5:$B$220,"="&amp;AQ179,$AJ$5:$AJ$220),SUMIFS($AJ$5:$AJ$220, $B$5:$B$220, "="&amp;AQ179, $C$5:$C$220,"="&amp;AR179)))</f>
        <v/>
      </c>
      <c r="AT179" s="31" t="str">
        <f aca="false">IF(AU179&gt;0,"anular",IF(AU179&lt;0,"reforçar","nenhuma"))</f>
        <v>nenhuma</v>
      </c>
      <c r="AU179" s="26" t="n">
        <f aca="false">IF(AB179&gt;0,IF(AS179&gt;=0,AB179-AS179,0),0)</f>
        <v>0</v>
      </c>
    </row>
    <row r="180" customFormat="false" ht="15" hidden="false" customHeight="false" outlineLevel="0" collapsed="false">
      <c r="A180" s="15" t="n">
        <v>176</v>
      </c>
      <c r="B180" s="17"/>
      <c r="C180" s="17"/>
      <c r="D180" s="17"/>
      <c r="E180" s="17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R180" s="21" t="n">
        <f aca="false">IF(SUM(F180:P180)&gt;0,ROUND(AVERAGE(F180:P180),4),0)</f>
        <v>0</v>
      </c>
      <c r="T180" s="22" t="n">
        <v>0</v>
      </c>
      <c r="V180" s="29"/>
      <c r="X180" s="26" t="n">
        <f aca="false">IF(T180&gt;0,T180,R180)*V180</f>
        <v>0</v>
      </c>
      <c r="Z180" s="27"/>
      <c r="AA180" s="17"/>
      <c r="AB180" s="26" t="n">
        <f aca="false">IF(Z180="",0,IF(AA180="",SUMIF($B$5:$B$220,"="&amp;Z180,$X$5:$X$220),SUMIFS($X$5:$X$220, $B$5:$B$220, "="&amp;Z180, $C$5:$C$220,"="&amp;AA180)))</f>
        <v>0</v>
      </c>
      <c r="AD180" s="29"/>
      <c r="AF180" s="17"/>
      <c r="AG180" s="26" t="n">
        <f aca="false">IF(AF180="",0,SUMIF($AD$5:$AD$220,"="&amp;AF180,$X$5:$X$220))</f>
        <v>0</v>
      </c>
      <c r="AI180" s="20"/>
      <c r="AJ180" s="26" t="n">
        <f aca="false">AI180*V180</f>
        <v>0</v>
      </c>
      <c r="AK180" s="30" t="n">
        <f aca="false">IF(X180&gt;0,IF(AJ180&gt;=0,AJ180-X180,0),0)</f>
        <v>0</v>
      </c>
      <c r="AM180" s="17" t="n">
        <f aca="false">AF180</f>
        <v>0</v>
      </c>
      <c r="AN180" s="26" t="str">
        <f aca="false">IF(AM180="","",SUMIF($AD$5:$AD$220,"="&amp;AM180,$AJ$5:$AJ$220))</f>
        <v/>
      </c>
      <c r="AO180" s="26" t="e">
        <f aca="false">IF(AG180&gt;=0,IF(AN180&gt;=0,AG180-AN180,0),0)</f>
        <v>#VALUE!</v>
      </c>
      <c r="AQ180" s="27" t="n">
        <f aca="false">Z180</f>
        <v>0</v>
      </c>
      <c r="AR180" s="17" t="n">
        <f aca="false">AA180</f>
        <v>0</v>
      </c>
      <c r="AS180" s="26" t="str">
        <f aca="false">IF(AQ180="","",IF(AR180="",SUMIF($B$5:$B$220,"="&amp;AQ180,$AJ$5:$AJ$220),SUMIFS($AJ$5:$AJ$220, $B$5:$B$220, "="&amp;AQ180, $C$5:$C$220,"="&amp;AR180)))</f>
        <v/>
      </c>
      <c r="AT180" s="31" t="str">
        <f aca="false">IF(AU180&gt;0,"anular",IF(AU180&lt;0,"reforçar","nenhuma"))</f>
        <v>nenhuma</v>
      </c>
      <c r="AU180" s="26" t="n">
        <f aca="false">IF(AB180&gt;0,IF(AS180&gt;=0,AB180-AS180,0),0)</f>
        <v>0</v>
      </c>
    </row>
    <row r="181" customFormat="false" ht="15" hidden="false" customHeight="false" outlineLevel="0" collapsed="false">
      <c r="A181" s="15" t="n">
        <v>177</v>
      </c>
      <c r="B181" s="17"/>
      <c r="C181" s="17"/>
      <c r="D181" s="17"/>
      <c r="E181" s="17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R181" s="21" t="n">
        <f aca="false">IF(SUM(F181:P181)&gt;0,ROUND(AVERAGE(F181:P181),4),0)</f>
        <v>0</v>
      </c>
      <c r="T181" s="22" t="n">
        <v>0</v>
      </c>
      <c r="V181" s="29"/>
      <c r="X181" s="26" t="n">
        <f aca="false">IF(T181&gt;0,T181,R181)*V181</f>
        <v>0</v>
      </c>
      <c r="Z181" s="27"/>
      <c r="AA181" s="17"/>
      <c r="AB181" s="26" t="n">
        <f aca="false">IF(Z181="",0,IF(AA181="",SUMIF($B$5:$B$220,"="&amp;Z181,$X$5:$X$220),SUMIFS($X$5:$X$220, $B$5:$B$220, "="&amp;Z181, $C$5:$C$220,"="&amp;AA181)))</f>
        <v>0</v>
      </c>
      <c r="AD181" s="29"/>
      <c r="AF181" s="17"/>
      <c r="AG181" s="26" t="n">
        <f aca="false">IF(AF181="",0,SUMIF($AD$5:$AD$220,"="&amp;AF181,$X$5:$X$220))</f>
        <v>0</v>
      </c>
      <c r="AI181" s="20"/>
      <c r="AJ181" s="26" t="n">
        <f aca="false">AI181*V181</f>
        <v>0</v>
      </c>
      <c r="AK181" s="30" t="n">
        <f aca="false">IF(X181&gt;0,IF(AJ181&gt;=0,AJ181-X181,0),0)</f>
        <v>0</v>
      </c>
      <c r="AM181" s="17" t="n">
        <f aca="false">AF181</f>
        <v>0</v>
      </c>
      <c r="AN181" s="26" t="str">
        <f aca="false">IF(AM181="","",SUMIF($AD$5:$AD$220,"="&amp;AM181,$AJ$5:$AJ$220))</f>
        <v/>
      </c>
      <c r="AO181" s="26" t="e">
        <f aca="false">IF(AG181&gt;=0,IF(AN181&gt;=0,AG181-AN181,0),0)</f>
        <v>#VALUE!</v>
      </c>
      <c r="AQ181" s="27" t="n">
        <f aca="false">Z181</f>
        <v>0</v>
      </c>
      <c r="AR181" s="17" t="n">
        <f aca="false">AA181</f>
        <v>0</v>
      </c>
      <c r="AS181" s="26" t="str">
        <f aca="false">IF(AQ181="","",IF(AR181="",SUMIF($B$5:$B$220,"="&amp;AQ181,$AJ$5:$AJ$220),SUMIFS($AJ$5:$AJ$220, $B$5:$B$220, "="&amp;AQ181, $C$5:$C$220,"="&amp;AR181)))</f>
        <v/>
      </c>
      <c r="AT181" s="31" t="str">
        <f aca="false">IF(AU181&gt;0,"anular",IF(AU181&lt;0,"reforçar","nenhuma"))</f>
        <v>nenhuma</v>
      </c>
      <c r="AU181" s="26" t="n">
        <f aca="false">IF(AB181&gt;0,IF(AS181&gt;=0,AB181-AS181,0),0)</f>
        <v>0</v>
      </c>
    </row>
    <row r="182" customFormat="false" ht="15" hidden="false" customHeight="false" outlineLevel="0" collapsed="false">
      <c r="A182" s="15" t="n">
        <v>178</v>
      </c>
      <c r="B182" s="17"/>
      <c r="C182" s="17"/>
      <c r="D182" s="17"/>
      <c r="E182" s="17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R182" s="21" t="n">
        <f aca="false">IF(SUM(F182:P182)&gt;0,ROUND(AVERAGE(F182:P182),4),0)</f>
        <v>0</v>
      </c>
      <c r="T182" s="22" t="n">
        <v>0</v>
      </c>
      <c r="V182" s="29"/>
      <c r="X182" s="26" t="n">
        <f aca="false">IF(T182&gt;0,T182,R182)*V182</f>
        <v>0</v>
      </c>
      <c r="Z182" s="27"/>
      <c r="AA182" s="17"/>
      <c r="AB182" s="26" t="n">
        <f aca="false">IF(Z182="",0,IF(AA182="",SUMIF($B$5:$B$220,"="&amp;Z182,$X$5:$X$220),SUMIFS($X$5:$X$220, $B$5:$B$220, "="&amp;Z182, $C$5:$C$220,"="&amp;AA182)))</f>
        <v>0</v>
      </c>
      <c r="AD182" s="29"/>
      <c r="AF182" s="17"/>
      <c r="AG182" s="26" t="n">
        <f aca="false">IF(AF182="",0,SUMIF($AD$5:$AD$220,"="&amp;AF182,$X$5:$X$220))</f>
        <v>0</v>
      </c>
      <c r="AI182" s="20"/>
      <c r="AJ182" s="26" t="n">
        <f aca="false">AI182*V182</f>
        <v>0</v>
      </c>
      <c r="AK182" s="30" t="n">
        <f aca="false">IF(X182&gt;0,IF(AJ182&gt;=0,AJ182-X182,0),0)</f>
        <v>0</v>
      </c>
      <c r="AM182" s="17" t="n">
        <f aca="false">AF182</f>
        <v>0</v>
      </c>
      <c r="AN182" s="26" t="str">
        <f aca="false">IF(AM182="","",SUMIF($AD$5:$AD$220,"="&amp;AM182,$AJ$5:$AJ$220))</f>
        <v/>
      </c>
      <c r="AO182" s="26" t="e">
        <f aca="false">IF(AG182&gt;=0,IF(AN182&gt;=0,AG182-AN182,0),0)</f>
        <v>#VALUE!</v>
      </c>
      <c r="AQ182" s="27" t="n">
        <f aca="false">Z182</f>
        <v>0</v>
      </c>
      <c r="AR182" s="17" t="n">
        <f aca="false">AA182</f>
        <v>0</v>
      </c>
      <c r="AS182" s="26" t="str">
        <f aca="false">IF(AQ182="","",IF(AR182="",SUMIF($B$5:$B$220,"="&amp;AQ182,$AJ$5:$AJ$220),SUMIFS($AJ$5:$AJ$220, $B$5:$B$220, "="&amp;AQ182, $C$5:$C$220,"="&amp;AR182)))</f>
        <v/>
      </c>
      <c r="AT182" s="31" t="str">
        <f aca="false">IF(AU182&gt;0,"anular",IF(AU182&lt;0,"reforçar","nenhuma"))</f>
        <v>nenhuma</v>
      </c>
      <c r="AU182" s="26" t="n">
        <f aca="false">IF(AB182&gt;0,IF(AS182&gt;=0,AB182-AS182,0),0)</f>
        <v>0</v>
      </c>
    </row>
    <row r="183" customFormat="false" ht="15" hidden="false" customHeight="false" outlineLevel="0" collapsed="false">
      <c r="A183" s="15" t="n">
        <v>179</v>
      </c>
      <c r="B183" s="17"/>
      <c r="C183" s="17"/>
      <c r="D183" s="17"/>
      <c r="E183" s="17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R183" s="21" t="n">
        <f aca="false">IF(SUM(F183:P183)&gt;0,ROUND(AVERAGE(F183:P183),4),0)</f>
        <v>0</v>
      </c>
      <c r="T183" s="22" t="n">
        <v>0</v>
      </c>
      <c r="V183" s="29"/>
      <c r="X183" s="26" t="n">
        <f aca="false">IF(T183&gt;0,T183,R183)*V183</f>
        <v>0</v>
      </c>
      <c r="Z183" s="27"/>
      <c r="AA183" s="17"/>
      <c r="AB183" s="26" t="n">
        <f aca="false">IF(Z183="",0,IF(AA183="",SUMIF($B$5:$B$220,"="&amp;Z183,$X$5:$X$220),SUMIFS($X$5:$X$220, $B$5:$B$220, "="&amp;Z183, $C$5:$C$220,"="&amp;AA183)))</f>
        <v>0</v>
      </c>
      <c r="AD183" s="29"/>
      <c r="AF183" s="17"/>
      <c r="AG183" s="26" t="n">
        <f aca="false">IF(AF183="",0,SUMIF($AD$5:$AD$220,"="&amp;AF183,$X$5:$X$220))</f>
        <v>0</v>
      </c>
      <c r="AI183" s="20"/>
      <c r="AJ183" s="26" t="n">
        <f aca="false">AI183*V183</f>
        <v>0</v>
      </c>
      <c r="AK183" s="30" t="n">
        <f aca="false">IF(X183&gt;0,IF(AJ183&gt;=0,AJ183-X183,0),0)</f>
        <v>0</v>
      </c>
      <c r="AM183" s="17" t="n">
        <f aca="false">AF183</f>
        <v>0</v>
      </c>
      <c r="AN183" s="26" t="str">
        <f aca="false">IF(AM183="","",SUMIF($AD$5:$AD$220,"="&amp;AM183,$AJ$5:$AJ$220))</f>
        <v/>
      </c>
      <c r="AO183" s="26" t="e">
        <f aca="false">IF(AG183&gt;=0,IF(AN183&gt;=0,AG183-AN183,0),0)</f>
        <v>#VALUE!</v>
      </c>
      <c r="AQ183" s="27" t="n">
        <f aca="false">Z183</f>
        <v>0</v>
      </c>
      <c r="AR183" s="17" t="n">
        <f aca="false">AA183</f>
        <v>0</v>
      </c>
      <c r="AS183" s="26" t="str">
        <f aca="false">IF(AQ183="","",IF(AR183="",SUMIF($B$5:$B$220,"="&amp;AQ183,$AJ$5:$AJ$220),SUMIFS($AJ$5:$AJ$220, $B$5:$B$220, "="&amp;AQ183, $C$5:$C$220,"="&amp;AR183)))</f>
        <v/>
      </c>
      <c r="AT183" s="31" t="str">
        <f aca="false">IF(AU183&gt;0,"anular",IF(AU183&lt;0,"reforçar","nenhuma"))</f>
        <v>nenhuma</v>
      </c>
      <c r="AU183" s="26" t="n">
        <f aca="false">IF(AB183&gt;0,IF(AS183&gt;=0,AB183-AS183,0),0)</f>
        <v>0</v>
      </c>
    </row>
    <row r="184" customFormat="false" ht="15" hidden="false" customHeight="false" outlineLevel="0" collapsed="false">
      <c r="A184" s="15" t="n">
        <v>180</v>
      </c>
      <c r="B184" s="17"/>
      <c r="C184" s="17"/>
      <c r="D184" s="17"/>
      <c r="E184" s="17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R184" s="21" t="n">
        <f aca="false">IF(SUM(F184:P184)&gt;0,ROUND(AVERAGE(F184:P184),4),0)</f>
        <v>0</v>
      </c>
      <c r="T184" s="22" t="n">
        <v>0</v>
      </c>
      <c r="V184" s="29"/>
      <c r="X184" s="26" t="n">
        <f aca="false">IF(T184&gt;0,T184,R184)*V184</f>
        <v>0</v>
      </c>
      <c r="Z184" s="27"/>
      <c r="AA184" s="17"/>
      <c r="AB184" s="26" t="n">
        <f aca="false">IF(Z184="",0,IF(AA184="",SUMIF($B$5:$B$220,"="&amp;Z184,$X$5:$X$220),SUMIFS($X$5:$X$220, $B$5:$B$220, "="&amp;Z184, $C$5:$C$220,"="&amp;AA184)))</f>
        <v>0</v>
      </c>
      <c r="AD184" s="29"/>
      <c r="AF184" s="17"/>
      <c r="AG184" s="26" t="n">
        <f aca="false">IF(AF184="",0,SUMIF($AD$5:$AD$220,"="&amp;AF184,$X$5:$X$220))</f>
        <v>0</v>
      </c>
      <c r="AI184" s="20"/>
      <c r="AJ184" s="26" t="n">
        <f aca="false">AI184*V184</f>
        <v>0</v>
      </c>
      <c r="AK184" s="30" t="n">
        <f aca="false">IF(X184&gt;0,IF(AJ184&gt;=0,AJ184-X184,0),0)</f>
        <v>0</v>
      </c>
      <c r="AM184" s="17" t="n">
        <f aca="false">AF184</f>
        <v>0</v>
      </c>
      <c r="AN184" s="26" t="str">
        <f aca="false">IF(AM184="","",SUMIF($AD$5:$AD$220,"="&amp;AM184,$AJ$5:$AJ$220))</f>
        <v/>
      </c>
      <c r="AO184" s="26" t="e">
        <f aca="false">IF(AG184&gt;=0,IF(AN184&gt;=0,AG184-AN184,0),0)</f>
        <v>#VALUE!</v>
      </c>
      <c r="AQ184" s="27" t="n">
        <f aca="false">Z184</f>
        <v>0</v>
      </c>
      <c r="AR184" s="17" t="n">
        <f aca="false">AA184</f>
        <v>0</v>
      </c>
      <c r="AS184" s="26" t="str">
        <f aca="false">IF(AQ184="","",IF(AR184="",SUMIF($B$5:$B$220,"="&amp;AQ184,$AJ$5:$AJ$220),SUMIFS($AJ$5:$AJ$220, $B$5:$B$220, "="&amp;AQ184, $C$5:$C$220,"="&amp;AR184)))</f>
        <v/>
      </c>
      <c r="AT184" s="31" t="str">
        <f aca="false">IF(AU184&gt;0,"anular",IF(AU184&lt;0,"reforçar","nenhuma"))</f>
        <v>nenhuma</v>
      </c>
      <c r="AU184" s="26" t="n">
        <f aca="false">IF(AB184&gt;0,IF(AS184&gt;=0,AB184-AS184,0),0)</f>
        <v>0</v>
      </c>
    </row>
    <row r="185" customFormat="false" ht="15" hidden="false" customHeight="false" outlineLevel="0" collapsed="false">
      <c r="A185" s="15" t="n">
        <v>181</v>
      </c>
      <c r="B185" s="17"/>
      <c r="C185" s="17"/>
      <c r="D185" s="17"/>
      <c r="E185" s="17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R185" s="21" t="n">
        <f aca="false">IF(SUM(F185:P185)&gt;0,ROUND(AVERAGE(F185:P185),4),0)</f>
        <v>0</v>
      </c>
      <c r="T185" s="22" t="n">
        <v>0</v>
      </c>
      <c r="V185" s="29"/>
      <c r="X185" s="26" t="n">
        <f aca="false">IF(T185&gt;0,T185,R185)*V185</f>
        <v>0</v>
      </c>
      <c r="Z185" s="27"/>
      <c r="AA185" s="17"/>
      <c r="AB185" s="26" t="n">
        <f aca="false">IF(Z185="",0,IF(AA185="",SUMIF($B$5:$B$220,"="&amp;Z185,$X$5:$X$220),SUMIFS($X$5:$X$220, $B$5:$B$220, "="&amp;Z185, $C$5:$C$220,"="&amp;AA185)))</f>
        <v>0</v>
      </c>
      <c r="AD185" s="29"/>
      <c r="AF185" s="17"/>
      <c r="AG185" s="26" t="n">
        <f aca="false">IF(AF185="",0,SUMIF($AD$5:$AD$220,"="&amp;AF185,$X$5:$X$220))</f>
        <v>0</v>
      </c>
      <c r="AI185" s="20"/>
      <c r="AJ185" s="26" t="n">
        <f aca="false">AI185*V185</f>
        <v>0</v>
      </c>
      <c r="AK185" s="30" t="n">
        <f aca="false">IF(X185&gt;0,IF(AJ185&gt;=0,AJ185-X185,0),0)</f>
        <v>0</v>
      </c>
      <c r="AM185" s="17" t="n">
        <f aca="false">AF185</f>
        <v>0</v>
      </c>
      <c r="AN185" s="26" t="str">
        <f aca="false">IF(AM185="","",SUMIF($AD$5:$AD$220,"="&amp;AM185,$AJ$5:$AJ$220))</f>
        <v/>
      </c>
      <c r="AO185" s="26" t="e">
        <f aca="false">IF(AG185&gt;=0,IF(AN185&gt;=0,AG185-AN185,0),0)</f>
        <v>#VALUE!</v>
      </c>
      <c r="AQ185" s="27" t="n">
        <f aca="false">Z185</f>
        <v>0</v>
      </c>
      <c r="AR185" s="17" t="n">
        <f aca="false">AA185</f>
        <v>0</v>
      </c>
      <c r="AS185" s="26" t="str">
        <f aca="false">IF(AQ185="","",IF(AR185="",SUMIF($B$5:$B$220,"="&amp;AQ185,$AJ$5:$AJ$220),SUMIFS($AJ$5:$AJ$220, $B$5:$B$220, "="&amp;AQ185, $C$5:$C$220,"="&amp;AR185)))</f>
        <v/>
      </c>
      <c r="AT185" s="31" t="str">
        <f aca="false">IF(AU185&gt;0,"anular",IF(AU185&lt;0,"reforçar","nenhuma"))</f>
        <v>nenhuma</v>
      </c>
      <c r="AU185" s="26" t="n">
        <f aca="false">IF(AB185&gt;0,IF(AS185&gt;=0,AB185-AS185,0),0)</f>
        <v>0</v>
      </c>
    </row>
    <row r="186" customFormat="false" ht="15" hidden="false" customHeight="false" outlineLevel="0" collapsed="false">
      <c r="A186" s="15" t="n">
        <v>182</v>
      </c>
      <c r="B186" s="27"/>
      <c r="C186" s="17"/>
      <c r="D186" s="17"/>
      <c r="E186" s="17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R186" s="21" t="n">
        <f aca="false">IF(SUM(F186:P186)&gt;0,ROUND(AVERAGE(F186:P186),4),0)</f>
        <v>0</v>
      </c>
      <c r="T186" s="22" t="n">
        <v>0</v>
      </c>
      <c r="V186" s="29"/>
      <c r="X186" s="26" t="n">
        <f aca="false">IF(T186&gt;0,T186,R186)*V186</f>
        <v>0</v>
      </c>
      <c r="Z186" s="27"/>
      <c r="AA186" s="17"/>
      <c r="AB186" s="26" t="n">
        <f aca="false">IF(Z186="",0,IF(AA186="",SUMIF($B$5:$B$220,"="&amp;Z186,$X$5:$X$220),SUMIFS($X$5:$X$220, $B$5:$B$220, "="&amp;Z186, $C$5:$C$220,"="&amp;AA186)))</f>
        <v>0</v>
      </c>
      <c r="AD186" s="29"/>
      <c r="AF186" s="17"/>
      <c r="AG186" s="26" t="n">
        <f aca="false">IF(AF186="",0,SUMIF($AD$5:$AD$220,"="&amp;AF186,$X$5:$X$220))</f>
        <v>0</v>
      </c>
      <c r="AI186" s="20"/>
      <c r="AJ186" s="26" t="n">
        <f aca="false">AI186*V186</f>
        <v>0</v>
      </c>
      <c r="AK186" s="30" t="n">
        <f aca="false">IF(X186&gt;0,IF(AJ186&gt;=0,AJ186-X186,0),0)</f>
        <v>0</v>
      </c>
      <c r="AM186" s="17" t="n">
        <f aca="false">AF186</f>
        <v>0</v>
      </c>
      <c r="AN186" s="26" t="str">
        <f aca="false">IF(AM186="","",SUMIF($AD$5:$AD$220,"="&amp;AM186,$AJ$5:$AJ$220))</f>
        <v/>
      </c>
      <c r="AO186" s="26" t="e">
        <f aca="false">IF(AG186&gt;=0,IF(AN186&gt;=0,AG186-AN186,0),0)</f>
        <v>#VALUE!</v>
      </c>
      <c r="AQ186" s="27" t="n">
        <f aca="false">Z186</f>
        <v>0</v>
      </c>
      <c r="AR186" s="17" t="n">
        <f aca="false">AA186</f>
        <v>0</v>
      </c>
      <c r="AS186" s="26" t="str">
        <f aca="false">IF(AQ186="","",IF(AR186="",SUMIF($B$5:$B$220,"="&amp;AQ186,$AJ$5:$AJ$220),SUMIFS($AJ$5:$AJ$220, $B$5:$B$220, "="&amp;AQ186, $C$5:$C$220,"="&amp;AR186)))</f>
        <v/>
      </c>
      <c r="AT186" s="31" t="str">
        <f aca="false">IF(AU186&gt;0,"anular",IF(AU186&lt;0,"reforçar","nenhuma"))</f>
        <v>nenhuma</v>
      </c>
      <c r="AU186" s="26" t="n">
        <f aca="false">IF(AB186&gt;0,IF(AS186&gt;=0,AB186-AS186,0),0)</f>
        <v>0</v>
      </c>
    </row>
    <row r="187" customFormat="false" ht="15" hidden="false" customHeight="false" outlineLevel="0" collapsed="false">
      <c r="A187" s="15" t="n">
        <v>183</v>
      </c>
      <c r="B187" s="17"/>
      <c r="C187" s="17"/>
      <c r="D187" s="17"/>
      <c r="E187" s="17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R187" s="21" t="n">
        <f aca="false">IF(SUM(F187:P187)&gt;0,ROUND(AVERAGE(F187:P187),4),0)</f>
        <v>0</v>
      </c>
      <c r="T187" s="22" t="n">
        <v>0</v>
      </c>
      <c r="V187" s="29"/>
      <c r="X187" s="26" t="n">
        <f aca="false">IF(T187&gt;0,T187,R187)*V187</f>
        <v>0</v>
      </c>
      <c r="Z187" s="27"/>
      <c r="AA187" s="17"/>
      <c r="AB187" s="26" t="n">
        <f aca="false">IF(Z187="",0,IF(AA187="",SUMIF($B$5:$B$220,"="&amp;Z187,$X$5:$X$220),SUMIFS($X$5:$X$220, $B$5:$B$220, "="&amp;Z187, $C$5:$C$220,"="&amp;AA187)))</f>
        <v>0</v>
      </c>
      <c r="AD187" s="29"/>
      <c r="AF187" s="17"/>
      <c r="AG187" s="26" t="n">
        <f aca="false">IF(AF187="",0,SUMIF($AD$5:$AD$220,"="&amp;AF187,$X$5:$X$220))</f>
        <v>0</v>
      </c>
      <c r="AI187" s="20"/>
      <c r="AJ187" s="26" t="n">
        <f aca="false">AI187*V187</f>
        <v>0</v>
      </c>
      <c r="AK187" s="30" t="n">
        <f aca="false">IF(X187&gt;0,IF(AJ187&gt;=0,AJ187-X187,0),0)</f>
        <v>0</v>
      </c>
      <c r="AM187" s="17" t="n">
        <f aca="false">AF187</f>
        <v>0</v>
      </c>
      <c r="AN187" s="26" t="str">
        <f aca="false">IF(AM187="","",SUMIF($AD$5:$AD$220,"="&amp;AM187,$AJ$5:$AJ$220))</f>
        <v/>
      </c>
      <c r="AO187" s="26" t="e">
        <f aca="false">IF(AG187&gt;=0,IF(AN187&gt;=0,AG187-AN187,0),0)</f>
        <v>#VALUE!</v>
      </c>
      <c r="AQ187" s="27" t="n">
        <f aca="false">Z187</f>
        <v>0</v>
      </c>
      <c r="AR187" s="17" t="n">
        <f aca="false">AA187</f>
        <v>0</v>
      </c>
      <c r="AS187" s="26" t="str">
        <f aca="false">IF(AQ187="","",IF(AR187="",SUMIF($B$5:$B$220,"="&amp;AQ187,$AJ$5:$AJ$220),SUMIFS($AJ$5:$AJ$220, $B$5:$B$220, "="&amp;AQ187, $C$5:$C$220,"="&amp;AR187)))</f>
        <v/>
      </c>
      <c r="AT187" s="31" t="str">
        <f aca="false">IF(AU187&gt;0,"anular",IF(AU187&lt;0,"reforçar","nenhuma"))</f>
        <v>nenhuma</v>
      </c>
      <c r="AU187" s="26" t="n">
        <f aca="false">IF(AB187&gt;0,IF(AS187&gt;=0,AB187-AS187,0),0)</f>
        <v>0</v>
      </c>
    </row>
    <row r="188" customFormat="false" ht="15" hidden="false" customHeight="false" outlineLevel="0" collapsed="false">
      <c r="A188" s="15" t="n">
        <v>184</v>
      </c>
      <c r="B188" s="17"/>
      <c r="C188" s="17"/>
      <c r="D188" s="17"/>
      <c r="E188" s="17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R188" s="21" t="n">
        <f aca="false">IF(SUM(F188:P188)&gt;0,ROUND(AVERAGE(F188:P188),4),0)</f>
        <v>0</v>
      </c>
      <c r="T188" s="22" t="n">
        <v>0</v>
      </c>
      <c r="V188" s="29"/>
      <c r="X188" s="26" t="n">
        <f aca="false">IF(T188&gt;0,T188,R188)*V188</f>
        <v>0</v>
      </c>
      <c r="Z188" s="27"/>
      <c r="AA188" s="17"/>
      <c r="AB188" s="26" t="n">
        <f aca="false">IF(Z188="",0,IF(AA188="",SUMIF($B$5:$B$220,"="&amp;Z188,$X$5:$X$220),SUMIFS($X$5:$X$220, $B$5:$B$220, "="&amp;Z188, $C$5:$C$220,"="&amp;AA188)))</f>
        <v>0</v>
      </c>
      <c r="AD188" s="29"/>
      <c r="AF188" s="17"/>
      <c r="AG188" s="26" t="n">
        <f aca="false">IF(AF188="",0,SUMIF($AD$5:$AD$220,"="&amp;AF188,$X$5:$X$220))</f>
        <v>0</v>
      </c>
      <c r="AI188" s="20"/>
      <c r="AJ188" s="26" t="n">
        <f aca="false">AI188*V188</f>
        <v>0</v>
      </c>
      <c r="AK188" s="30" t="n">
        <f aca="false">IF(X188&gt;0,IF(AJ188&gt;=0,AJ188-X188,0),0)</f>
        <v>0</v>
      </c>
      <c r="AM188" s="17" t="n">
        <f aca="false">AF188</f>
        <v>0</v>
      </c>
      <c r="AN188" s="26" t="str">
        <f aca="false">IF(AM188="","",SUMIF($AD$5:$AD$220,"="&amp;AM188,$AJ$5:$AJ$220))</f>
        <v/>
      </c>
      <c r="AO188" s="26" t="e">
        <f aca="false">IF(AG188&gt;=0,IF(AN188&gt;=0,AG188-AN188,0),0)</f>
        <v>#VALUE!</v>
      </c>
      <c r="AQ188" s="27" t="n">
        <f aca="false">Z188</f>
        <v>0</v>
      </c>
      <c r="AR188" s="17" t="n">
        <f aca="false">AA188</f>
        <v>0</v>
      </c>
      <c r="AS188" s="26" t="str">
        <f aca="false">IF(AQ188="","",IF(AR188="",SUMIF($B$5:$B$220,"="&amp;AQ188,$AJ$5:$AJ$220),SUMIFS($AJ$5:$AJ$220, $B$5:$B$220, "="&amp;AQ188, $C$5:$C$220,"="&amp;AR188)))</f>
        <v/>
      </c>
      <c r="AT188" s="31" t="str">
        <f aca="false">IF(AU188&gt;0,"anular",IF(AU188&lt;0,"reforçar","nenhuma"))</f>
        <v>nenhuma</v>
      </c>
      <c r="AU188" s="26" t="n">
        <f aca="false">IF(AB188&gt;0,IF(AS188&gt;=0,AB188-AS188,0),0)</f>
        <v>0</v>
      </c>
    </row>
    <row r="189" customFormat="false" ht="15" hidden="false" customHeight="false" outlineLevel="0" collapsed="false">
      <c r="A189" s="15" t="n">
        <v>185</v>
      </c>
      <c r="B189" s="17"/>
      <c r="C189" s="17"/>
      <c r="D189" s="17"/>
      <c r="E189" s="17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R189" s="21" t="n">
        <f aca="false">IF(SUM(F189:P189)&gt;0,ROUND(AVERAGE(F189:P189),4),0)</f>
        <v>0</v>
      </c>
      <c r="T189" s="22" t="n">
        <v>0</v>
      </c>
      <c r="V189" s="29"/>
      <c r="X189" s="26" t="n">
        <f aca="false">IF(T189&gt;0,T189,R189)*V189</f>
        <v>0</v>
      </c>
      <c r="Z189" s="27"/>
      <c r="AA189" s="17"/>
      <c r="AB189" s="26" t="n">
        <f aca="false">IF(Z189="",0,IF(AA189="",SUMIF($B$5:$B$220,"="&amp;Z189,$X$5:$X$220),SUMIFS($X$5:$X$220, $B$5:$B$220, "="&amp;Z189, $C$5:$C$220,"="&amp;AA189)))</f>
        <v>0</v>
      </c>
      <c r="AD189" s="29"/>
      <c r="AF189" s="17"/>
      <c r="AG189" s="26" t="n">
        <f aca="false">IF(AF189="",0,SUMIF($AD$5:$AD$220,"="&amp;AF189,$X$5:$X$220))</f>
        <v>0</v>
      </c>
      <c r="AI189" s="20"/>
      <c r="AJ189" s="26" t="n">
        <f aca="false">AI189*V189</f>
        <v>0</v>
      </c>
      <c r="AK189" s="30" t="n">
        <f aca="false">IF(X189&gt;0,IF(AJ189&gt;=0,AJ189-X189,0),0)</f>
        <v>0</v>
      </c>
      <c r="AM189" s="17" t="n">
        <f aca="false">AF189</f>
        <v>0</v>
      </c>
      <c r="AN189" s="26" t="str">
        <f aca="false">IF(AM189="","",SUMIF($AD$5:$AD$220,"="&amp;AM189,$AJ$5:$AJ$220))</f>
        <v/>
      </c>
      <c r="AO189" s="26" t="e">
        <f aca="false">IF(AG189&gt;=0,IF(AN189&gt;=0,AG189-AN189,0),0)</f>
        <v>#VALUE!</v>
      </c>
      <c r="AQ189" s="27" t="n">
        <f aca="false">Z189</f>
        <v>0</v>
      </c>
      <c r="AR189" s="17" t="n">
        <f aca="false">AA189</f>
        <v>0</v>
      </c>
      <c r="AS189" s="26" t="str">
        <f aca="false">IF(AQ189="","",IF(AR189="",SUMIF($B$5:$B$220,"="&amp;AQ189,$AJ$5:$AJ$220),SUMIFS($AJ$5:$AJ$220, $B$5:$B$220, "="&amp;AQ189, $C$5:$C$220,"="&amp;AR189)))</f>
        <v/>
      </c>
      <c r="AT189" s="31" t="str">
        <f aca="false">IF(AU189&gt;0,"anular",IF(AU189&lt;0,"reforçar","nenhuma"))</f>
        <v>nenhuma</v>
      </c>
      <c r="AU189" s="26" t="n">
        <f aca="false">IF(AB189&gt;0,IF(AS189&gt;=0,AB189-AS189,0),0)</f>
        <v>0</v>
      </c>
    </row>
    <row r="190" customFormat="false" ht="15" hidden="false" customHeight="false" outlineLevel="0" collapsed="false">
      <c r="A190" s="15" t="n">
        <v>186</v>
      </c>
      <c r="B190" s="17"/>
      <c r="C190" s="17"/>
      <c r="D190" s="17"/>
      <c r="E190" s="17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R190" s="21" t="n">
        <f aca="false">IF(SUM(F190:P190)&gt;0,ROUND(AVERAGE(F190:P190),4),0)</f>
        <v>0</v>
      </c>
      <c r="T190" s="22" t="n">
        <v>0</v>
      </c>
      <c r="V190" s="29"/>
      <c r="X190" s="26" t="n">
        <f aca="false">IF(T190&gt;0,T190,R190)*V190</f>
        <v>0</v>
      </c>
      <c r="Z190" s="27"/>
      <c r="AA190" s="17"/>
      <c r="AB190" s="26" t="n">
        <f aca="false">IF(Z190="",0,IF(AA190="",SUMIF($B$5:$B$220,"="&amp;Z190,$X$5:$X$220),SUMIFS($X$5:$X$220, $B$5:$B$220, "="&amp;Z190, $C$5:$C$220,"="&amp;AA190)))</f>
        <v>0</v>
      </c>
      <c r="AD190" s="29"/>
      <c r="AF190" s="17"/>
      <c r="AG190" s="26" t="n">
        <f aca="false">IF(AF190="",0,SUMIF($AD$5:$AD$220,"="&amp;AF190,$X$5:$X$220))</f>
        <v>0</v>
      </c>
      <c r="AI190" s="20"/>
      <c r="AJ190" s="26" t="n">
        <f aca="false">AI190*V190</f>
        <v>0</v>
      </c>
      <c r="AK190" s="30" t="n">
        <f aca="false">IF(X190&gt;0,IF(AJ190&gt;=0,AJ190-X190,0),0)</f>
        <v>0</v>
      </c>
      <c r="AM190" s="17" t="n">
        <f aca="false">AF190</f>
        <v>0</v>
      </c>
      <c r="AN190" s="26" t="str">
        <f aca="false">IF(AM190="","",SUMIF($AD$5:$AD$220,"="&amp;AM190,$AJ$5:$AJ$220))</f>
        <v/>
      </c>
      <c r="AO190" s="26" t="e">
        <f aca="false">IF(AG190&gt;=0,IF(AN190&gt;=0,AG190-AN190,0),0)</f>
        <v>#VALUE!</v>
      </c>
      <c r="AQ190" s="27" t="n">
        <f aca="false">Z190</f>
        <v>0</v>
      </c>
      <c r="AR190" s="17" t="n">
        <f aca="false">AA190</f>
        <v>0</v>
      </c>
      <c r="AS190" s="26" t="str">
        <f aca="false">IF(AQ190="","",IF(AR190="",SUMIF($B$5:$B$220,"="&amp;AQ190,$AJ$5:$AJ$220),SUMIFS($AJ$5:$AJ$220, $B$5:$B$220, "="&amp;AQ190, $C$5:$C$220,"="&amp;AR190)))</f>
        <v/>
      </c>
      <c r="AT190" s="31" t="str">
        <f aca="false">IF(AU190&gt;0,"anular",IF(AU190&lt;0,"reforçar","nenhuma"))</f>
        <v>nenhuma</v>
      </c>
      <c r="AU190" s="26" t="n">
        <f aca="false">IF(AB190&gt;0,IF(AS190&gt;=0,AB190-AS190,0),0)</f>
        <v>0</v>
      </c>
    </row>
    <row r="191" customFormat="false" ht="15" hidden="false" customHeight="false" outlineLevel="0" collapsed="false">
      <c r="A191" s="15" t="n">
        <v>187</v>
      </c>
      <c r="B191" s="17"/>
      <c r="C191" s="17"/>
      <c r="D191" s="17"/>
      <c r="E191" s="17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R191" s="21" t="n">
        <f aca="false">IF(SUM(F191:P191)&gt;0,ROUND(AVERAGE(F191:P191),4),0)</f>
        <v>0</v>
      </c>
      <c r="T191" s="22" t="n">
        <v>0</v>
      </c>
      <c r="V191" s="29"/>
      <c r="X191" s="26" t="n">
        <f aca="false">IF(T191&gt;0,T191,R191)*V191</f>
        <v>0</v>
      </c>
      <c r="Z191" s="27"/>
      <c r="AA191" s="17"/>
      <c r="AB191" s="26" t="n">
        <f aca="false">IF(Z191="",0,IF(AA191="",SUMIF($B$5:$B$220,"="&amp;Z191,$X$5:$X$220),SUMIFS($X$5:$X$220, $B$5:$B$220, "="&amp;Z191, $C$5:$C$220,"="&amp;AA191)))</f>
        <v>0</v>
      </c>
      <c r="AD191" s="29"/>
      <c r="AF191" s="17"/>
      <c r="AG191" s="26" t="n">
        <f aca="false">IF(AF191="",0,SUMIF($AD$5:$AD$220,"="&amp;AF191,$X$5:$X$220))</f>
        <v>0</v>
      </c>
      <c r="AI191" s="20"/>
      <c r="AJ191" s="26" t="n">
        <f aca="false">AI191*V191</f>
        <v>0</v>
      </c>
      <c r="AK191" s="30" t="n">
        <f aca="false">IF(X191&gt;0,IF(AJ191&gt;=0,AJ191-X191,0),0)</f>
        <v>0</v>
      </c>
      <c r="AM191" s="17" t="n">
        <f aca="false">AF191</f>
        <v>0</v>
      </c>
      <c r="AN191" s="26" t="str">
        <f aca="false">IF(AM191="","",SUMIF($AD$5:$AD$220,"="&amp;AM191,$AJ$5:$AJ$220))</f>
        <v/>
      </c>
      <c r="AO191" s="26" t="e">
        <f aca="false">IF(AG191&gt;=0,IF(AN191&gt;=0,AG191-AN191,0),0)</f>
        <v>#VALUE!</v>
      </c>
      <c r="AQ191" s="27" t="n">
        <f aca="false">Z191</f>
        <v>0</v>
      </c>
      <c r="AR191" s="17" t="n">
        <f aca="false">AA191</f>
        <v>0</v>
      </c>
      <c r="AS191" s="26" t="str">
        <f aca="false">IF(AQ191="","",IF(AR191="",SUMIF($B$5:$B$220,"="&amp;AQ191,$AJ$5:$AJ$220),SUMIFS($AJ$5:$AJ$220, $B$5:$B$220, "="&amp;AQ191, $C$5:$C$220,"="&amp;AR191)))</f>
        <v/>
      </c>
      <c r="AT191" s="31" t="str">
        <f aca="false">IF(AU191&gt;0,"anular",IF(AU191&lt;0,"reforçar","nenhuma"))</f>
        <v>nenhuma</v>
      </c>
      <c r="AU191" s="26" t="n">
        <f aca="false">IF(AB191&gt;0,IF(AS191&gt;=0,AB191-AS191,0),0)</f>
        <v>0</v>
      </c>
    </row>
    <row r="192" customFormat="false" ht="15" hidden="false" customHeight="false" outlineLevel="0" collapsed="false">
      <c r="A192" s="15" t="n">
        <v>188</v>
      </c>
      <c r="B192" s="17"/>
      <c r="C192" s="17"/>
      <c r="D192" s="17"/>
      <c r="E192" s="17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R192" s="21" t="n">
        <f aca="false">IF(SUM(F192:P192)&gt;0,ROUND(AVERAGE(F192:P192),4),0)</f>
        <v>0</v>
      </c>
      <c r="T192" s="22" t="n">
        <v>0</v>
      </c>
      <c r="V192" s="29"/>
      <c r="X192" s="26" t="n">
        <f aca="false">IF(T192&gt;0,T192,R192)*V192</f>
        <v>0</v>
      </c>
      <c r="Z192" s="27"/>
      <c r="AA192" s="17"/>
      <c r="AB192" s="26" t="n">
        <f aca="false">IF(Z192="",0,IF(AA192="",SUMIF($B$5:$B$220,"="&amp;Z192,$X$5:$X$220),SUMIFS($X$5:$X$220, $B$5:$B$220, "="&amp;Z192, $C$5:$C$220,"="&amp;AA192)))</f>
        <v>0</v>
      </c>
      <c r="AD192" s="29"/>
      <c r="AF192" s="17"/>
      <c r="AG192" s="26" t="n">
        <f aca="false">IF(AF192="",0,SUMIF($AD$5:$AD$220,"="&amp;AF192,$X$5:$X$220))</f>
        <v>0</v>
      </c>
      <c r="AI192" s="20"/>
      <c r="AJ192" s="26" t="n">
        <f aca="false">AI192*V192</f>
        <v>0</v>
      </c>
      <c r="AK192" s="30" t="n">
        <f aca="false">IF(X192&gt;0,IF(AJ192&gt;=0,AJ192-X192,0),0)</f>
        <v>0</v>
      </c>
      <c r="AM192" s="17" t="n">
        <f aca="false">AF192</f>
        <v>0</v>
      </c>
      <c r="AN192" s="26" t="str">
        <f aca="false">IF(AM192="","",SUMIF($AD$5:$AD$220,"="&amp;AM192,$AJ$5:$AJ$220))</f>
        <v/>
      </c>
      <c r="AO192" s="26" t="e">
        <f aca="false">IF(AG192&gt;=0,IF(AN192&gt;=0,AG192-AN192,0),0)</f>
        <v>#VALUE!</v>
      </c>
      <c r="AQ192" s="27" t="n">
        <f aca="false">Z192</f>
        <v>0</v>
      </c>
      <c r="AR192" s="17" t="n">
        <f aca="false">AA192</f>
        <v>0</v>
      </c>
      <c r="AS192" s="26" t="str">
        <f aca="false">IF(AQ192="","",IF(AR192="",SUMIF($B$5:$B$220,"="&amp;AQ192,$AJ$5:$AJ$220),SUMIFS($AJ$5:$AJ$220, $B$5:$B$220, "="&amp;AQ192, $C$5:$C$220,"="&amp;AR192)))</f>
        <v/>
      </c>
      <c r="AT192" s="31" t="str">
        <f aca="false">IF(AU192&gt;0,"anular",IF(AU192&lt;0,"reforçar","nenhuma"))</f>
        <v>nenhuma</v>
      </c>
      <c r="AU192" s="26" t="n">
        <f aca="false">IF(AB192&gt;0,IF(AS192&gt;=0,AB192-AS192,0),0)</f>
        <v>0</v>
      </c>
    </row>
    <row r="193" customFormat="false" ht="15" hidden="false" customHeight="false" outlineLevel="0" collapsed="false">
      <c r="A193" s="15" t="n">
        <v>189</v>
      </c>
      <c r="B193" s="17"/>
      <c r="C193" s="17"/>
      <c r="D193" s="17"/>
      <c r="E193" s="17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R193" s="21" t="n">
        <f aca="false">IF(SUM(F193:P193)&gt;0,ROUND(AVERAGE(F193:P193),4),0)</f>
        <v>0</v>
      </c>
      <c r="T193" s="22" t="n">
        <v>0</v>
      </c>
      <c r="V193" s="29"/>
      <c r="X193" s="26" t="n">
        <f aca="false">IF(T193&gt;0,T193,R193)*V193</f>
        <v>0</v>
      </c>
      <c r="Z193" s="27"/>
      <c r="AA193" s="17"/>
      <c r="AB193" s="26" t="n">
        <f aca="false">IF(Z193="",0,IF(AA193="",SUMIF($B$5:$B$220,"="&amp;Z193,$X$5:$X$220),SUMIFS($X$5:$X$220, $B$5:$B$220, "="&amp;Z193, $C$5:$C$220,"="&amp;AA193)))</f>
        <v>0</v>
      </c>
      <c r="AD193" s="29"/>
      <c r="AF193" s="17"/>
      <c r="AG193" s="26" t="n">
        <f aca="false">IF(AF193="",0,SUMIF($AD$5:$AD$220,"="&amp;AF193,$X$5:$X$220))</f>
        <v>0</v>
      </c>
      <c r="AI193" s="20"/>
      <c r="AJ193" s="26" t="n">
        <f aca="false">AI193*V193</f>
        <v>0</v>
      </c>
      <c r="AK193" s="30" t="n">
        <f aca="false">IF(X193&gt;0,IF(AJ193&gt;=0,AJ193-X193,0),0)</f>
        <v>0</v>
      </c>
      <c r="AM193" s="17" t="n">
        <f aca="false">AF193</f>
        <v>0</v>
      </c>
      <c r="AN193" s="26" t="str">
        <f aca="false">IF(AM193="","",SUMIF($AD$5:$AD$220,"="&amp;AM193,$AJ$5:$AJ$220))</f>
        <v/>
      </c>
      <c r="AO193" s="26" t="e">
        <f aca="false">IF(AG193&gt;=0,IF(AN193&gt;=0,AG193-AN193,0),0)</f>
        <v>#VALUE!</v>
      </c>
      <c r="AQ193" s="27" t="n">
        <f aca="false">Z193</f>
        <v>0</v>
      </c>
      <c r="AR193" s="17" t="n">
        <f aca="false">AA193</f>
        <v>0</v>
      </c>
      <c r="AS193" s="26" t="str">
        <f aca="false">IF(AQ193="","",IF(AR193="",SUMIF($B$5:$B$220,"="&amp;AQ193,$AJ$5:$AJ$220),SUMIFS($AJ$5:$AJ$220, $B$5:$B$220, "="&amp;AQ193, $C$5:$C$220,"="&amp;AR193)))</f>
        <v/>
      </c>
      <c r="AT193" s="31" t="str">
        <f aca="false">IF(AU193&gt;0,"anular",IF(AU193&lt;0,"reforçar","nenhuma"))</f>
        <v>nenhuma</v>
      </c>
      <c r="AU193" s="26" t="n">
        <f aca="false">IF(AB193&gt;0,IF(AS193&gt;=0,AB193-AS193,0),0)</f>
        <v>0</v>
      </c>
    </row>
    <row r="194" customFormat="false" ht="15" hidden="false" customHeight="false" outlineLevel="0" collapsed="false">
      <c r="A194" s="15" t="n">
        <v>190</v>
      </c>
      <c r="B194" s="17"/>
      <c r="C194" s="17"/>
      <c r="D194" s="17"/>
      <c r="E194" s="17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R194" s="21" t="n">
        <f aca="false">IF(SUM(F194:P194)&gt;0,ROUND(AVERAGE(F194:P194),4),0)</f>
        <v>0</v>
      </c>
      <c r="T194" s="22" t="n">
        <v>0</v>
      </c>
      <c r="V194" s="29"/>
      <c r="X194" s="26" t="n">
        <f aca="false">IF(T194&gt;0,T194,R194)*V194</f>
        <v>0</v>
      </c>
      <c r="Z194" s="27"/>
      <c r="AA194" s="17"/>
      <c r="AB194" s="26" t="n">
        <f aca="false">IF(Z194="",0,IF(AA194="",SUMIF($B$5:$B$220,"="&amp;Z194,$X$5:$X$220),SUMIFS($X$5:$X$220, $B$5:$B$220, "="&amp;Z194, $C$5:$C$220,"="&amp;AA194)))</f>
        <v>0</v>
      </c>
      <c r="AD194" s="29"/>
      <c r="AF194" s="17"/>
      <c r="AG194" s="26" t="n">
        <f aca="false">IF(AF194="",0,SUMIF($AD$5:$AD$220,"="&amp;AF194,$X$5:$X$220))</f>
        <v>0</v>
      </c>
      <c r="AI194" s="20"/>
      <c r="AJ194" s="26" t="n">
        <f aca="false">AI194*V194</f>
        <v>0</v>
      </c>
      <c r="AK194" s="30" t="n">
        <f aca="false">IF(X194&gt;0,IF(AJ194&gt;=0,AJ194-X194,0),0)</f>
        <v>0</v>
      </c>
      <c r="AM194" s="17" t="n">
        <f aca="false">AF194</f>
        <v>0</v>
      </c>
      <c r="AN194" s="26" t="str">
        <f aca="false">IF(AM194="","",SUMIF($AD$5:$AD$220,"="&amp;AM194,$AJ$5:$AJ$220))</f>
        <v/>
      </c>
      <c r="AO194" s="26" t="e">
        <f aca="false">IF(AG194&gt;=0,IF(AN194&gt;=0,AG194-AN194,0),0)</f>
        <v>#VALUE!</v>
      </c>
      <c r="AQ194" s="27" t="n">
        <f aca="false">Z194</f>
        <v>0</v>
      </c>
      <c r="AR194" s="17" t="n">
        <f aca="false">AA194</f>
        <v>0</v>
      </c>
      <c r="AS194" s="26" t="str">
        <f aca="false">IF(AQ194="","",IF(AR194="",SUMIF($B$5:$B$220,"="&amp;AQ194,$AJ$5:$AJ$220),SUMIFS($AJ$5:$AJ$220, $B$5:$B$220, "="&amp;AQ194, $C$5:$C$220,"="&amp;AR194)))</f>
        <v/>
      </c>
      <c r="AT194" s="31" t="str">
        <f aca="false">IF(AU194&gt;0,"anular",IF(AU194&lt;0,"reforçar","nenhuma"))</f>
        <v>nenhuma</v>
      </c>
      <c r="AU194" s="26" t="n">
        <f aca="false">IF(AB194&gt;0,IF(AS194&gt;=0,AB194-AS194,0),0)</f>
        <v>0</v>
      </c>
    </row>
    <row r="195" customFormat="false" ht="15" hidden="false" customHeight="false" outlineLevel="0" collapsed="false">
      <c r="A195" s="15" t="n">
        <v>191</v>
      </c>
      <c r="B195" s="17"/>
      <c r="C195" s="17"/>
      <c r="D195" s="17"/>
      <c r="E195" s="17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R195" s="21" t="n">
        <f aca="false">IF(SUM(F195:P195)&gt;0,ROUND(AVERAGE(F195:P195),4),0)</f>
        <v>0</v>
      </c>
      <c r="T195" s="22" t="n">
        <v>0</v>
      </c>
      <c r="V195" s="29"/>
      <c r="X195" s="26" t="n">
        <f aca="false">IF(T195&gt;0,T195,R195)*V195</f>
        <v>0</v>
      </c>
      <c r="Z195" s="27"/>
      <c r="AA195" s="17"/>
      <c r="AB195" s="26" t="n">
        <f aca="false">IF(Z195="",0,IF(AA195="",SUMIF($B$5:$B$220,"="&amp;Z195,$X$5:$X$220),SUMIFS($X$5:$X$220, $B$5:$B$220, "="&amp;Z195, $C$5:$C$220,"="&amp;AA195)))</f>
        <v>0</v>
      </c>
      <c r="AD195" s="29"/>
      <c r="AF195" s="17"/>
      <c r="AG195" s="26" t="n">
        <f aca="false">IF(AF195="",0,SUMIF($AD$5:$AD$220,"="&amp;AF195,$X$5:$X$220))</f>
        <v>0</v>
      </c>
      <c r="AI195" s="20"/>
      <c r="AJ195" s="26" t="n">
        <f aca="false">AI195*V195</f>
        <v>0</v>
      </c>
      <c r="AK195" s="30" t="n">
        <f aca="false">IF(X195&gt;0,IF(AJ195&gt;=0,AJ195-X195,0),0)</f>
        <v>0</v>
      </c>
      <c r="AM195" s="17" t="n">
        <f aca="false">AF195</f>
        <v>0</v>
      </c>
      <c r="AN195" s="26" t="str">
        <f aca="false">IF(AM195="","",SUMIF($AD$5:$AD$220,"="&amp;AM195,$AJ$5:$AJ$220))</f>
        <v/>
      </c>
      <c r="AO195" s="26" t="e">
        <f aca="false">IF(AG195&gt;=0,IF(AN195&gt;=0,AG195-AN195,0),0)</f>
        <v>#VALUE!</v>
      </c>
      <c r="AQ195" s="27" t="n">
        <f aca="false">Z195</f>
        <v>0</v>
      </c>
      <c r="AR195" s="17" t="n">
        <f aca="false">AA195</f>
        <v>0</v>
      </c>
      <c r="AS195" s="26" t="str">
        <f aca="false">IF(AQ195="","",IF(AR195="",SUMIF($B$5:$B$220,"="&amp;AQ195,$AJ$5:$AJ$220),SUMIFS($AJ$5:$AJ$220, $B$5:$B$220, "="&amp;AQ195, $C$5:$C$220,"="&amp;AR195)))</f>
        <v/>
      </c>
      <c r="AT195" s="31" t="str">
        <f aca="false">IF(AU195&gt;0,"anular",IF(AU195&lt;0,"reforçar","nenhuma"))</f>
        <v>nenhuma</v>
      </c>
      <c r="AU195" s="26" t="n">
        <f aca="false">IF(AB195&gt;0,IF(AS195&gt;=0,AB195-AS195,0),0)</f>
        <v>0</v>
      </c>
    </row>
    <row r="196" customFormat="false" ht="15" hidden="false" customHeight="false" outlineLevel="0" collapsed="false">
      <c r="A196" s="15" t="n">
        <v>192</v>
      </c>
      <c r="B196" s="17"/>
      <c r="C196" s="17"/>
      <c r="D196" s="17"/>
      <c r="E196" s="17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R196" s="21" t="n">
        <f aca="false">IF(SUM(F196:P196)&gt;0,ROUND(AVERAGE(F196:P196),4),0)</f>
        <v>0</v>
      </c>
      <c r="T196" s="22" t="n">
        <v>0</v>
      </c>
      <c r="V196" s="29"/>
      <c r="X196" s="26" t="n">
        <f aca="false">IF(T196&gt;0,T196,R196)*V196</f>
        <v>0</v>
      </c>
      <c r="Z196" s="27"/>
      <c r="AA196" s="17"/>
      <c r="AB196" s="26" t="n">
        <f aca="false">IF(Z196="",0,IF(AA196="",SUMIF($B$5:$B$220,"="&amp;Z196,$X$5:$X$220),SUMIFS($X$5:$X$220, $B$5:$B$220, "="&amp;Z196, $C$5:$C$220,"="&amp;AA196)))</f>
        <v>0</v>
      </c>
      <c r="AD196" s="29"/>
      <c r="AF196" s="17"/>
      <c r="AG196" s="26" t="n">
        <f aca="false">IF(AF196="",0,SUMIF($AD$5:$AD$220,"="&amp;AF196,$X$5:$X$220))</f>
        <v>0</v>
      </c>
      <c r="AI196" s="20"/>
      <c r="AJ196" s="26" t="n">
        <f aca="false">AI196*V196</f>
        <v>0</v>
      </c>
      <c r="AK196" s="30" t="n">
        <f aca="false">IF(X196&gt;0,IF(AJ196&gt;=0,AJ196-X196,0),0)</f>
        <v>0</v>
      </c>
      <c r="AM196" s="17" t="n">
        <f aca="false">AF196</f>
        <v>0</v>
      </c>
      <c r="AN196" s="26" t="str">
        <f aca="false">IF(AM196="","",SUMIF($AD$5:$AD$220,"="&amp;AM196,$AJ$5:$AJ$220))</f>
        <v/>
      </c>
      <c r="AO196" s="26" t="e">
        <f aca="false">IF(AG196&gt;=0,IF(AN196&gt;=0,AG196-AN196,0),0)</f>
        <v>#VALUE!</v>
      </c>
      <c r="AQ196" s="27" t="n">
        <f aca="false">Z196</f>
        <v>0</v>
      </c>
      <c r="AR196" s="17" t="n">
        <f aca="false">AA196</f>
        <v>0</v>
      </c>
      <c r="AS196" s="26" t="str">
        <f aca="false">IF(AQ196="","",IF(AR196="",SUMIF($B$5:$B$220,"="&amp;AQ196,$AJ$5:$AJ$220),SUMIFS($AJ$5:$AJ$220, $B$5:$B$220, "="&amp;AQ196, $C$5:$C$220,"="&amp;AR196)))</f>
        <v/>
      </c>
      <c r="AT196" s="31" t="str">
        <f aca="false">IF(AU196&gt;0,"anular",IF(AU196&lt;0,"reforçar","nenhuma"))</f>
        <v>nenhuma</v>
      </c>
      <c r="AU196" s="26" t="n">
        <f aca="false">IF(AB196&gt;0,IF(AS196&gt;=0,AB196-AS196,0),0)</f>
        <v>0</v>
      </c>
    </row>
    <row r="197" customFormat="false" ht="15" hidden="false" customHeight="false" outlineLevel="0" collapsed="false">
      <c r="A197" s="15" t="n">
        <v>193</v>
      </c>
      <c r="B197" s="17"/>
      <c r="C197" s="17"/>
      <c r="D197" s="17"/>
      <c r="E197" s="17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R197" s="21" t="n">
        <f aca="false">IF(SUM(F197:P197)&gt;0,ROUND(AVERAGE(F197:P197),4),0)</f>
        <v>0</v>
      </c>
      <c r="T197" s="22" t="n">
        <v>0</v>
      </c>
      <c r="V197" s="29"/>
      <c r="X197" s="26" t="n">
        <f aca="false">IF(T197&gt;0,T197,R197)*V197</f>
        <v>0</v>
      </c>
      <c r="Z197" s="27"/>
      <c r="AA197" s="17"/>
      <c r="AB197" s="26" t="n">
        <f aca="false">IF(Z197="",0,IF(AA197="",SUMIF($B$5:$B$220,"="&amp;Z197,$X$5:$X$220),SUMIFS($X$5:$X$220, $B$5:$B$220, "="&amp;Z197, $C$5:$C$220,"="&amp;AA197)))</f>
        <v>0</v>
      </c>
      <c r="AD197" s="29"/>
      <c r="AF197" s="17"/>
      <c r="AG197" s="26" t="n">
        <f aca="false">IF(AF197="",0,SUMIF($AD$5:$AD$220,"="&amp;AF197,$X$5:$X$220))</f>
        <v>0</v>
      </c>
      <c r="AI197" s="20"/>
      <c r="AJ197" s="26" t="n">
        <f aca="false">AI197*V197</f>
        <v>0</v>
      </c>
      <c r="AK197" s="30" t="n">
        <f aca="false">IF(X197&gt;0,IF(AJ197&gt;=0,AJ197-X197,0),0)</f>
        <v>0</v>
      </c>
      <c r="AM197" s="17" t="n">
        <f aca="false">AF197</f>
        <v>0</v>
      </c>
      <c r="AN197" s="26" t="str">
        <f aca="false">IF(AM197="","",SUMIF($AD$5:$AD$220,"="&amp;AM197,$AJ$5:$AJ$220))</f>
        <v/>
      </c>
      <c r="AO197" s="26" t="e">
        <f aca="false">IF(AG197&gt;=0,IF(AN197&gt;=0,AG197-AN197,0),0)</f>
        <v>#VALUE!</v>
      </c>
      <c r="AQ197" s="27" t="n">
        <f aca="false">Z197</f>
        <v>0</v>
      </c>
      <c r="AR197" s="17" t="n">
        <f aca="false">AA197</f>
        <v>0</v>
      </c>
      <c r="AS197" s="26" t="str">
        <f aca="false">IF(AQ197="","",IF(AR197="",SUMIF($B$5:$B$220,"="&amp;AQ197,$AJ$5:$AJ$220),SUMIFS($AJ$5:$AJ$220, $B$5:$B$220, "="&amp;AQ197, $C$5:$C$220,"="&amp;AR197)))</f>
        <v/>
      </c>
      <c r="AT197" s="31" t="str">
        <f aca="false">IF(AU197&gt;0,"anular",IF(AU197&lt;0,"reforçar","nenhuma"))</f>
        <v>nenhuma</v>
      </c>
      <c r="AU197" s="26" t="n">
        <f aca="false">IF(AB197&gt;0,IF(AS197&gt;=0,AB197-AS197,0),0)</f>
        <v>0</v>
      </c>
    </row>
    <row r="198" customFormat="false" ht="15" hidden="false" customHeight="false" outlineLevel="0" collapsed="false">
      <c r="A198" s="15" t="n">
        <v>194</v>
      </c>
      <c r="B198" s="17"/>
      <c r="C198" s="17"/>
      <c r="D198" s="17"/>
      <c r="E198" s="17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R198" s="21" t="n">
        <f aca="false">IF(SUM(F198:P198)&gt;0,ROUND(AVERAGE(F198:P198),4),0)</f>
        <v>0</v>
      </c>
      <c r="T198" s="22" t="n">
        <v>0</v>
      </c>
      <c r="V198" s="29"/>
      <c r="X198" s="26" t="n">
        <f aca="false">IF(T198&gt;0,T198,R198)*V198</f>
        <v>0</v>
      </c>
      <c r="Z198" s="27"/>
      <c r="AA198" s="17"/>
      <c r="AB198" s="26" t="n">
        <f aca="false">IF(Z198="",0,IF(AA198="",SUMIF($B$5:$B$220,"="&amp;Z198,$X$5:$X$220),SUMIFS($X$5:$X$220, $B$5:$B$220, "="&amp;Z198, $C$5:$C$220,"="&amp;AA198)))</f>
        <v>0</v>
      </c>
      <c r="AD198" s="29"/>
      <c r="AF198" s="17"/>
      <c r="AG198" s="26" t="n">
        <f aca="false">IF(AF198="",0,SUMIF($AD$5:$AD$220,"="&amp;AF198,$X$5:$X$220))</f>
        <v>0</v>
      </c>
      <c r="AI198" s="20"/>
      <c r="AJ198" s="26" t="n">
        <f aca="false">AI198*V198</f>
        <v>0</v>
      </c>
      <c r="AK198" s="30" t="n">
        <f aca="false">IF(X198&gt;0,IF(AJ198&gt;=0,AJ198-X198,0),0)</f>
        <v>0</v>
      </c>
      <c r="AM198" s="17" t="n">
        <f aca="false">AF198</f>
        <v>0</v>
      </c>
      <c r="AN198" s="26" t="str">
        <f aca="false">IF(AM198="","",SUMIF($AD$5:$AD$220,"="&amp;AM198,$AJ$5:$AJ$220))</f>
        <v/>
      </c>
      <c r="AO198" s="26" t="e">
        <f aca="false">IF(AG198&gt;=0,IF(AN198&gt;=0,AG198-AN198,0),0)</f>
        <v>#VALUE!</v>
      </c>
      <c r="AQ198" s="27" t="n">
        <f aca="false">Z198</f>
        <v>0</v>
      </c>
      <c r="AR198" s="17" t="n">
        <f aca="false">AA198</f>
        <v>0</v>
      </c>
      <c r="AS198" s="26" t="str">
        <f aca="false">IF(AQ198="","",IF(AR198="",SUMIF($B$5:$B$220,"="&amp;AQ198,$AJ$5:$AJ$220),SUMIFS($AJ$5:$AJ$220, $B$5:$B$220, "="&amp;AQ198, $C$5:$C$220,"="&amp;AR198)))</f>
        <v/>
      </c>
      <c r="AT198" s="31" t="str">
        <f aca="false">IF(AU198&gt;0,"anular",IF(AU198&lt;0,"reforçar","nenhuma"))</f>
        <v>nenhuma</v>
      </c>
      <c r="AU198" s="26" t="n">
        <f aca="false">IF(AB198&gt;0,IF(AS198&gt;=0,AB198-AS198,0),0)</f>
        <v>0</v>
      </c>
    </row>
    <row r="199" customFormat="false" ht="15" hidden="false" customHeight="false" outlineLevel="0" collapsed="false">
      <c r="A199" s="15" t="n">
        <v>195</v>
      </c>
      <c r="B199" s="17"/>
      <c r="C199" s="17"/>
      <c r="D199" s="17"/>
      <c r="E199" s="17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R199" s="21" t="n">
        <f aca="false">IF(SUM(F199:P199)&gt;0,ROUND(AVERAGE(F199:P199),4),0)</f>
        <v>0</v>
      </c>
      <c r="T199" s="22" t="n">
        <v>0</v>
      </c>
      <c r="V199" s="29"/>
      <c r="X199" s="26" t="n">
        <f aca="false">IF(T199&gt;0,T199,R199)*V199</f>
        <v>0</v>
      </c>
      <c r="Z199" s="27"/>
      <c r="AA199" s="17"/>
      <c r="AB199" s="26" t="n">
        <f aca="false">IF(Z199="",0,IF(AA199="",SUMIF($B$5:$B$220,"="&amp;Z199,$X$5:$X$220),SUMIFS($X$5:$X$220, $B$5:$B$220, "="&amp;Z199, $C$5:$C$220,"="&amp;AA199)))</f>
        <v>0</v>
      </c>
      <c r="AD199" s="29"/>
      <c r="AF199" s="17"/>
      <c r="AG199" s="26" t="n">
        <f aca="false">IF(AF199="",0,SUMIF($AD$5:$AD$220,"="&amp;AF199,$X$5:$X$220))</f>
        <v>0</v>
      </c>
      <c r="AI199" s="20"/>
      <c r="AJ199" s="26" t="n">
        <f aca="false">AI199*V199</f>
        <v>0</v>
      </c>
      <c r="AK199" s="30" t="n">
        <f aca="false">IF(X199&gt;0,IF(AJ199&gt;=0,AJ199-X199,0),0)</f>
        <v>0</v>
      </c>
      <c r="AM199" s="17" t="n">
        <f aca="false">AF199</f>
        <v>0</v>
      </c>
      <c r="AN199" s="26" t="str">
        <f aca="false">IF(AM199="","",SUMIF($AD$5:$AD$220,"="&amp;AM199,$AJ$5:$AJ$220))</f>
        <v/>
      </c>
      <c r="AO199" s="26" t="e">
        <f aca="false">IF(AG199&gt;=0,IF(AN199&gt;=0,AG199-AN199,0),0)</f>
        <v>#VALUE!</v>
      </c>
      <c r="AQ199" s="27" t="n">
        <f aca="false">Z199</f>
        <v>0</v>
      </c>
      <c r="AR199" s="17" t="n">
        <f aca="false">AA199</f>
        <v>0</v>
      </c>
      <c r="AS199" s="26" t="str">
        <f aca="false">IF(AQ199="","",IF(AR199="",SUMIF($B$5:$B$220,"="&amp;AQ199,$AJ$5:$AJ$220),SUMIFS($AJ$5:$AJ$220, $B$5:$B$220, "="&amp;AQ199, $C$5:$C$220,"="&amp;AR199)))</f>
        <v/>
      </c>
      <c r="AT199" s="31" t="str">
        <f aca="false">IF(AU199&gt;0,"anular",IF(AU199&lt;0,"reforçar","nenhuma"))</f>
        <v>nenhuma</v>
      </c>
      <c r="AU199" s="26" t="n">
        <f aca="false">IF(AB199&gt;0,IF(AS199&gt;=0,AB199-AS199,0),0)</f>
        <v>0</v>
      </c>
    </row>
    <row r="200" customFormat="false" ht="15" hidden="false" customHeight="false" outlineLevel="0" collapsed="false">
      <c r="A200" s="15" t="n">
        <v>196</v>
      </c>
      <c r="B200" s="17"/>
      <c r="C200" s="17"/>
      <c r="D200" s="17"/>
      <c r="E200" s="17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R200" s="21" t="n">
        <f aca="false">IF(SUM(F200:P200)&gt;0,ROUND(AVERAGE(F200:P200),4),0)</f>
        <v>0</v>
      </c>
      <c r="T200" s="22" t="n">
        <v>0</v>
      </c>
      <c r="V200" s="29"/>
      <c r="X200" s="26" t="n">
        <f aca="false">IF(T200&gt;0,T200,R200)*V200</f>
        <v>0</v>
      </c>
      <c r="Z200" s="27"/>
      <c r="AA200" s="17"/>
      <c r="AB200" s="26" t="n">
        <f aca="false">IF(Z200="",0,IF(AA200="",SUMIF($B$5:$B$220,"="&amp;Z200,$X$5:$X$220),SUMIFS($X$5:$X$220, $B$5:$B$220, "="&amp;Z200, $C$5:$C$220,"="&amp;AA200)))</f>
        <v>0</v>
      </c>
      <c r="AD200" s="29"/>
      <c r="AF200" s="17"/>
      <c r="AG200" s="26" t="n">
        <f aca="false">IF(AF200="",0,SUMIF($AD$5:$AD$220,"="&amp;AF200,$X$5:$X$220))</f>
        <v>0</v>
      </c>
      <c r="AI200" s="20"/>
      <c r="AJ200" s="26" t="n">
        <f aca="false">AI200*V200</f>
        <v>0</v>
      </c>
      <c r="AK200" s="30" t="n">
        <f aca="false">IF(X200&gt;0,IF(AJ200&gt;=0,AJ200-X200,0),0)</f>
        <v>0</v>
      </c>
      <c r="AM200" s="17" t="n">
        <f aca="false">AF200</f>
        <v>0</v>
      </c>
      <c r="AN200" s="26" t="str">
        <f aca="false">IF(AM200="","",SUMIF($AD$5:$AD$220,"="&amp;AM200,$AJ$5:$AJ$220))</f>
        <v/>
      </c>
      <c r="AO200" s="26" t="e">
        <f aca="false">IF(AG200&gt;=0,IF(AN200&gt;=0,AG200-AN200,0),0)</f>
        <v>#VALUE!</v>
      </c>
      <c r="AQ200" s="27" t="n">
        <f aca="false">Z200</f>
        <v>0</v>
      </c>
      <c r="AR200" s="17" t="n">
        <f aca="false">AA200</f>
        <v>0</v>
      </c>
      <c r="AS200" s="26" t="str">
        <f aca="false">IF(AQ200="","",IF(AR200="",SUMIF($B$5:$B$220,"="&amp;AQ200,$AJ$5:$AJ$220),SUMIFS($AJ$5:$AJ$220, $B$5:$B$220, "="&amp;AQ200, $C$5:$C$220,"="&amp;AR200)))</f>
        <v/>
      </c>
      <c r="AT200" s="31" t="str">
        <f aca="false">IF(AU200&gt;0,"anular",IF(AU200&lt;0,"reforçar","nenhuma"))</f>
        <v>nenhuma</v>
      </c>
      <c r="AU200" s="26" t="n">
        <f aca="false">IF(AB200&gt;0,IF(AS200&gt;=0,AB200-AS200,0),0)</f>
        <v>0</v>
      </c>
    </row>
    <row r="201" customFormat="false" ht="15" hidden="false" customHeight="false" outlineLevel="0" collapsed="false">
      <c r="A201" s="15" t="n">
        <v>197</v>
      </c>
      <c r="B201" s="17"/>
      <c r="C201" s="17"/>
      <c r="D201" s="17"/>
      <c r="E201" s="17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R201" s="21" t="n">
        <f aca="false">IF(SUM(F201:P201)&gt;0,ROUND(AVERAGE(F201:P201),4),0)</f>
        <v>0</v>
      </c>
      <c r="T201" s="22" t="n">
        <v>0</v>
      </c>
      <c r="V201" s="29"/>
      <c r="X201" s="26" t="n">
        <f aca="false">IF(T201&gt;0,T201,R201)*V201</f>
        <v>0</v>
      </c>
      <c r="Z201" s="27"/>
      <c r="AA201" s="17"/>
      <c r="AB201" s="26" t="n">
        <f aca="false">IF(Z201="",0,IF(AA201="",SUMIF($B$5:$B$220,"="&amp;Z201,$X$5:$X$220),SUMIFS($X$5:$X$220, $B$5:$B$220, "="&amp;Z201, $C$5:$C$220,"="&amp;AA201)))</f>
        <v>0</v>
      </c>
      <c r="AD201" s="29"/>
      <c r="AF201" s="17"/>
      <c r="AG201" s="26" t="n">
        <f aca="false">IF(AF201="",0,SUMIF($AD$5:$AD$220,"="&amp;AF201,$X$5:$X$220))</f>
        <v>0</v>
      </c>
      <c r="AI201" s="20"/>
      <c r="AJ201" s="26" t="n">
        <f aca="false">AI201*V201</f>
        <v>0</v>
      </c>
      <c r="AK201" s="30" t="n">
        <f aca="false">IF(X201&gt;0,IF(AJ201&gt;=0,AJ201-X201,0),0)</f>
        <v>0</v>
      </c>
      <c r="AM201" s="17" t="n">
        <f aca="false">AF201</f>
        <v>0</v>
      </c>
      <c r="AN201" s="26" t="str">
        <f aca="false">IF(AM201="","",SUMIF($AD$5:$AD$220,"="&amp;AM201,$AJ$5:$AJ$220))</f>
        <v/>
      </c>
      <c r="AO201" s="26" t="e">
        <f aca="false">IF(AG201&gt;=0,IF(AN201&gt;=0,AG201-AN201,0),0)</f>
        <v>#VALUE!</v>
      </c>
      <c r="AQ201" s="27" t="n">
        <f aca="false">Z201</f>
        <v>0</v>
      </c>
      <c r="AR201" s="17" t="n">
        <f aca="false">AA201</f>
        <v>0</v>
      </c>
      <c r="AS201" s="26" t="str">
        <f aca="false">IF(AQ201="","",IF(AR201="",SUMIF($B$5:$B$220,"="&amp;AQ201,$AJ$5:$AJ$220),SUMIFS($AJ$5:$AJ$220, $B$5:$B$220, "="&amp;AQ201, $C$5:$C$220,"="&amp;AR201)))</f>
        <v/>
      </c>
      <c r="AT201" s="31" t="str">
        <f aca="false">IF(AU201&gt;0,"anular",IF(AU201&lt;0,"reforçar","nenhuma"))</f>
        <v>nenhuma</v>
      </c>
      <c r="AU201" s="26" t="n">
        <f aca="false">IF(AB201&gt;0,IF(AS201&gt;=0,AB201-AS201,0),0)</f>
        <v>0</v>
      </c>
    </row>
    <row r="202" customFormat="false" ht="15" hidden="false" customHeight="false" outlineLevel="0" collapsed="false">
      <c r="A202" s="15" t="n">
        <v>198</v>
      </c>
      <c r="B202" s="17"/>
      <c r="C202" s="17"/>
      <c r="D202" s="17"/>
      <c r="E202" s="17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R202" s="21" t="n">
        <f aca="false">IF(SUM(F202:P202)&gt;0,ROUND(AVERAGE(F202:P202),4),0)</f>
        <v>0</v>
      </c>
      <c r="T202" s="22" t="n">
        <v>0</v>
      </c>
      <c r="V202" s="29"/>
      <c r="X202" s="26" t="n">
        <f aca="false">IF(T202&gt;0,T202,R202)*V202</f>
        <v>0</v>
      </c>
      <c r="Z202" s="27"/>
      <c r="AA202" s="17"/>
      <c r="AB202" s="26" t="n">
        <f aca="false">IF(Z202="",0,IF(AA202="",SUMIF($B$5:$B$220,"="&amp;Z202,$X$5:$X$220),SUMIFS($X$5:$X$220, $B$5:$B$220, "="&amp;Z202, $C$5:$C$220,"="&amp;AA202)))</f>
        <v>0</v>
      </c>
      <c r="AD202" s="29"/>
      <c r="AF202" s="17"/>
      <c r="AG202" s="26" t="n">
        <f aca="false">IF(AF202="",0,SUMIF($AD$5:$AD$220,"="&amp;AF202,$X$5:$X$220))</f>
        <v>0</v>
      </c>
      <c r="AI202" s="20"/>
      <c r="AJ202" s="26" t="n">
        <f aca="false">AI202*V202</f>
        <v>0</v>
      </c>
      <c r="AK202" s="30" t="n">
        <f aca="false">IF(X202&gt;0,IF(AJ202&gt;=0,AJ202-X202,0),0)</f>
        <v>0</v>
      </c>
      <c r="AM202" s="17" t="n">
        <f aca="false">AF202</f>
        <v>0</v>
      </c>
      <c r="AN202" s="26" t="str">
        <f aca="false">IF(AM202="","",SUMIF($AD$5:$AD$220,"="&amp;AM202,$AJ$5:$AJ$220))</f>
        <v/>
      </c>
      <c r="AO202" s="26" t="e">
        <f aca="false">IF(AG202&gt;=0,IF(AN202&gt;=0,AG202-AN202,0),0)</f>
        <v>#VALUE!</v>
      </c>
      <c r="AQ202" s="27" t="n">
        <f aca="false">Z202</f>
        <v>0</v>
      </c>
      <c r="AR202" s="17" t="n">
        <f aca="false">AA202</f>
        <v>0</v>
      </c>
      <c r="AS202" s="26" t="str">
        <f aca="false">IF(AQ202="","",IF(AR202="",SUMIF($B$5:$B$220,"="&amp;AQ202,$AJ$5:$AJ$220),SUMIFS($AJ$5:$AJ$220, $B$5:$B$220, "="&amp;AQ202, $C$5:$C$220,"="&amp;AR202)))</f>
        <v/>
      </c>
      <c r="AT202" s="31" t="str">
        <f aca="false">IF(AU202&gt;0,"anular",IF(AU202&lt;0,"reforçar","nenhuma"))</f>
        <v>nenhuma</v>
      </c>
      <c r="AU202" s="26" t="n">
        <f aca="false">IF(AB202&gt;0,IF(AS202&gt;=0,AB202-AS202,0),0)</f>
        <v>0</v>
      </c>
    </row>
    <row r="203" customFormat="false" ht="15" hidden="false" customHeight="false" outlineLevel="0" collapsed="false">
      <c r="A203" s="15" t="n">
        <v>199</v>
      </c>
      <c r="B203" s="17"/>
      <c r="C203" s="17"/>
      <c r="D203" s="17"/>
      <c r="E203" s="17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R203" s="21" t="n">
        <f aca="false">IF(SUM(F203:P203)&gt;0,ROUND(AVERAGE(F203:P203),4),0)</f>
        <v>0</v>
      </c>
      <c r="T203" s="22" t="n">
        <v>0</v>
      </c>
      <c r="V203" s="29"/>
      <c r="X203" s="26" t="n">
        <f aca="false">IF(T203&gt;0,T203,R203)*V203</f>
        <v>0</v>
      </c>
      <c r="Z203" s="27"/>
      <c r="AA203" s="17"/>
      <c r="AB203" s="26" t="n">
        <f aca="false">IF(Z203="",0,IF(AA203="",SUMIF($B$5:$B$220,"="&amp;Z203,$X$5:$X$220),SUMIFS($X$5:$X$220, $B$5:$B$220, "="&amp;Z203, $C$5:$C$220,"="&amp;AA203)))</f>
        <v>0</v>
      </c>
      <c r="AD203" s="29"/>
      <c r="AF203" s="17"/>
      <c r="AG203" s="26" t="n">
        <f aca="false">IF(AF203="",0,SUMIF($AD$5:$AD$220,"="&amp;AF203,$X$5:$X$220))</f>
        <v>0</v>
      </c>
      <c r="AI203" s="20"/>
      <c r="AJ203" s="26" t="n">
        <f aca="false">AI203*V203</f>
        <v>0</v>
      </c>
      <c r="AK203" s="30" t="n">
        <f aca="false">IF(X203&gt;0,IF(AJ203&gt;=0,AJ203-X203,0),0)</f>
        <v>0</v>
      </c>
      <c r="AM203" s="17" t="n">
        <f aca="false">AF203</f>
        <v>0</v>
      </c>
      <c r="AN203" s="26" t="str">
        <f aca="false">IF(AM203="","",SUMIF($AD$5:$AD$220,"="&amp;AM203,$AJ$5:$AJ$220))</f>
        <v/>
      </c>
      <c r="AO203" s="26" t="e">
        <f aca="false">IF(AG203&gt;=0,IF(AN203&gt;=0,AG203-AN203,0),0)</f>
        <v>#VALUE!</v>
      </c>
      <c r="AQ203" s="27" t="n">
        <f aca="false">Z203</f>
        <v>0</v>
      </c>
      <c r="AR203" s="17" t="n">
        <f aca="false">AA203</f>
        <v>0</v>
      </c>
      <c r="AS203" s="26" t="str">
        <f aca="false">IF(AQ203="","",IF(AR203="",SUMIF($B$5:$B$220,"="&amp;AQ203,$AJ$5:$AJ$220),SUMIFS($AJ$5:$AJ$220, $B$5:$B$220, "="&amp;AQ203, $C$5:$C$220,"="&amp;AR203)))</f>
        <v/>
      </c>
      <c r="AT203" s="31" t="str">
        <f aca="false">IF(AU203&gt;0,"anular",IF(AU203&lt;0,"reforçar","nenhuma"))</f>
        <v>nenhuma</v>
      </c>
      <c r="AU203" s="26" t="n">
        <f aca="false">IF(AB203&gt;0,IF(AS203&gt;=0,AB203-AS203,0),0)</f>
        <v>0</v>
      </c>
    </row>
    <row r="204" customFormat="false" ht="15" hidden="false" customHeight="false" outlineLevel="0" collapsed="false">
      <c r="A204" s="15" t="n">
        <v>200</v>
      </c>
      <c r="B204" s="17"/>
      <c r="C204" s="17"/>
      <c r="D204" s="17"/>
      <c r="E204" s="17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R204" s="21" t="n">
        <f aca="false">IF(SUM(F204:P204)&gt;0,ROUND(AVERAGE(F204:P204),4),0)</f>
        <v>0</v>
      </c>
      <c r="T204" s="22" t="n">
        <v>0</v>
      </c>
      <c r="V204" s="29"/>
      <c r="X204" s="26" t="n">
        <f aca="false">IF(T204&gt;0,T204,R204)*V204</f>
        <v>0</v>
      </c>
      <c r="Z204" s="27"/>
      <c r="AA204" s="17"/>
      <c r="AB204" s="26" t="n">
        <f aca="false">IF(Z204="",0,IF(AA204="",SUMIF($B$5:$B$220,"="&amp;Z204,$X$5:$X$220),SUMIFS($X$5:$X$220, $B$5:$B$220, "="&amp;Z204, $C$5:$C$220,"="&amp;AA204)))</f>
        <v>0</v>
      </c>
      <c r="AD204" s="29"/>
      <c r="AF204" s="17"/>
      <c r="AG204" s="26" t="n">
        <f aca="false">IF(AF204="",0,SUMIF($AD$5:$AD$220,"="&amp;AF204,$X$5:$X$220))</f>
        <v>0</v>
      </c>
      <c r="AI204" s="20"/>
      <c r="AJ204" s="26" t="n">
        <f aca="false">AI204*V204</f>
        <v>0</v>
      </c>
      <c r="AK204" s="30" t="n">
        <f aca="false">IF(X204&gt;0,IF(AJ204&gt;=0,AJ204-X204,0),0)</f>
        <v>0</v>
      </c>
      <c r="AM204" s="17" t="n">
        <f aca="false">AF204</f>
        <v>0</v>
      </c>
      <c r="AN204" s="26" t="str">
        <f aca="false">IF(AM204="","",SUMIF($AD$5:$AD$220,"="&amp;AM204,$AJ$5:$AJ$220))</f>
        <v/>
      </c>
      <c r="AO204" s="26" t="e">
        <f aca="false">IF(AG204&gt;=0,IF(AN204&gt;=0,AG204-AN204,0),0)</f>
        <v>#VALUE!</v>
      </c>
      <c r="AQ204" s="27" t="n">
        <f aca="false">Z204</f>
        <v>0</v>
      </c>
      <c r="AR204" s="17" t="n">
        <f aca="false">AA204</f>
        <v>0</v>
      </c>
      <c r="AS204" s="26" t="str">
        <f aca="false">IF(AQ204="","",IF(AR204="",SUMIF($B$5:$B$220,"="&amp;AQ204,$AJ$5:$AJ$220),SUMIFS($AJ$5:$AJ$220, $B$5:$B$220, "="&amp;AQ204, $C$5:$C$220,"="&amp;AR204)))</f>
        <v/>
      </c>
      <c r="AT204" s="31" t="str">
        <f aca="false">IF(AU204&gt;0,"anular",IF(AU204&lt;0,"reforçar","nenhuma"))</f>
        <v>nenhuma</v>
      </c>
      <c r="AU204" s="26" t="n">
        <f aca="false">IF(AB204&gt;0,IF(AS204&gt;=0,AB204-AS204,0),0)</f>
        <v>0</v>
      </c>
    </row>
    <row r="205" customFormat="false" ht="15" hidden="false" customHeight="false" outlineLevel="0" collapsed="false">
      <c r="A205" s="15" t="n">
        <v>201</v>
      </c>
      <c r="B205" s="17"/>
      <c r="C205" s="17"/>
      <c r="D205" s="17"/>
      <c r="E205" s="17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R205" s="21" t="n">
        <f aca="false">IF(SUM(F205:P205)&gt;0,ROUND(AVERAGE(F205:P205),4),0)</f>
        <v>0</v>
      </c>
      <c r="T205" s="22" t="n">
        <v>0</v>
      </c>
      <c r="V205" s="29"/>
      <c r="X205" s="26" t="n">
        <f aca="false">IF(T205&gt;0,T205,R205)*V205</f>
        <v>0</v>
      </c>
      <c r="Z205" s="27"/>
      <c r="AA205" s="17"/>
      <c r="AB205" s="26" t="n">
        <f aca="false">IF(Z205="",0,IF(AA205="",SUMIF($B$5:$B$220,"="&amp;Z205,$X$5:$X$220),SUMIFS($X$5:$X$220, $B$5:$B$220, "="&amp;Z205, $C$5:$C$220,"="&amp;AA205)))</f>
        <v>0</v>
      </c>
      <c r="AD205" s="29"/>
      <c r="AF205" s="17"/>
      <c r="AG205" s="26" t="n">
        <f aca="false">IF(AF205="",0,SUMIF($AD$5:$AD$220,"="&amp;AF205,$X$5:$X$220))</f>
        <v>0</v>
      </c>
      <c r="AI205" s="20"/>
      <c r="AJ205" s="26" t="n">
        <f aca="false">AI205*V205</f>
        <v>0</v>
      </c>
      <c r="AK205" s="30" t="n">
        <f aca="false">IF(X205&gt;0,IF(AJ205&gt;=0,AJ205-X205,0),0)</f>
        <v>0</v>
      </c>
      <c r="AM205" s="17" t="n">
        <f aca="false">AF205</f>
        <v>0</v>
      </c>
      <c r="AN205" s="26" t="str">
        <f aca="false">IF(AM205="","",SUMIF($AD$5:$AD$220,"="&amp;AM205,$AJ$5:$AJ$220))</f>
        <v/>
      </c>
      <c r="AO205" s="26" t="e">
        <f aca="false">IF(AG205&gt;=0,IF(AN205&gt;=0,AG205-AN205,0),0)</f>
        <v>#VALUE!</v>
      </c>
      <c r="AQ205" s="27" t="n">
        <f aca="false">Z205</f>
        <v>0</v>
      </c>
      <c r="AR205" s="17" t="n">
        <f aca="false">AA205</f>
        <v>0</v>
      </c>
      <c r="AS205" s="26" t="str">
        <f aca="false">IF(AQ205="","",IF(AR205="",SUMIF($B$5:$B$220,"="&amp;AQ205,$AJ$5:$AJ$220),SUMIFS($AJ$5:$AJ$220, $B$5:$B$220, "="&amp;AQ205, $C$5:$C$220,"="&amp;AR205)))</f>
        <v/>
      </c>
      <c r="AT205" s="31" t="str">
        <f aca="false">IF(AU205&gt;0,"anular",IF(AU205&lt;0,"reforçar","nenhuma"))</f>
        <v>nenhuma</v>
      </c>
      <c r="AU205" s="26" t="n">
        <f aca="false">IF(AB205&gt;0,IF(AS205&gt;=0,AB205-AS205,0),0)</f>
        <v>0</v>
      </c>
    </row>
    <row r="206" customFormat="false" ht="15" hidden="false" customHeight="false" outlineLevel="0" collapsed="false">
      <c r="A206" s="15" t="n">
        <v>202</v>
      </c>
      <c r="B206" s="17"/>
      <c r="C206" s="17"/>
      <c r="D206" s="17"/>
      <c r="E206" s="17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R206" s="21" t="n">
        <f aca="false">IF(SUM(F206:P206)&gt;0,ROUND(AVERAGE(F206:P206),4),0)</f>
        <v>0</v>
      </c>
      <c r="T206" s="22" t="n">
        <v>0</v>
      </c>
      <c r="V206" s="29"/>
      <c r="X206" s="26" t="n">
        <f aca="false">IF(T206&gt;0,T206,R206)*V206</f>
        <v>0</v>
      </c>
      <c r="Z206" s="27"/>
      <c r="AA206" s="17"/>
      <c r="AB206" s="26" t="n">
        <f aca="false">IF(Z206="",0,IF(AA206="",SUMIF($B$5:$B$220,"="&amp;Z206,$X$5:$X$220),SUMIFS($X$5:$X$220, $B$5:$B$220, "="&amp;Z206, $C$5:$C$220,"="&amp;AA206)))</f>
        <v>0</v>
      </c>
      <c r="AD206" s="29"/>
      <c r="AF206" s="17"/>
      <c r="AG206" s="26" t="n">
        <f aca="false">IF(AF206="",0,SUMIF($AD$5:$AD$220,"="&amp;AF206,$X$5:$X$220))</f>
        <v>0</v>
      </c>
      <c r="AI206" s="20"/>
      <c r="AJ206" s="26" t="n">
        <f aca="false">AI206*V206</f>
        <v>0</v>
      </c>
      <c r="AK206" s="30" t="n">
        <f aca="false">IF(X206&gt;0,IF(AJ206&gt;=0,AJ206-X206,0),0)</f>
        <v>0</v>
      </c>
      <c r="AM206" s="17" t="n">
        <f aca="false">AF206</f>
        <v>0</v>
      </c>
      <c r="AN206" s="26" t="str">
        <f aca="false">IF(AM206="","",SUMIF($AD$5:$AD$220,"="&amp;AM206,$AJ$5:$AJ$220))</f>
        <v/>
      </c>
      <c r="AO206" s="26" t="e">
        <f aca="false">IF(AG206&gt;=0,IF(AN206&gt;=0,AG206-AN206,0),0)</f>
        <v>#VALUE!</v>
      </c>
      <c r="AQ206" s="27" t="n">
        <f aca="false">Z206</f>
        <v>0</v>
      </c>
      <c r="AR206" s="17" t="n">
        <f aca="false">AA206</f>
        <v>0</v>
      </c>
      <c r="AS206" s="26" t="str">
        <f aca="false">IF(AQ206="","",IF(AR206="",SUMIF($B$5:$B$220,"="&amp;AQ206,$AJ$5:$AJ$220),SUMIFS($AJ$5:$AJ$220, $B$5:$B$220, "="&amp;AQ206, $C$5:$C$220,"="&amp;AR206)))</f>
        <v/>
      </c>
      <c r="AT206" s="31" t="str">
        <f aca="false">IF(AU206&gt;0,"anular",IF(AU206&lt;0,"reforçar","nenhuma"))</f>
        <v>nenhuma</v>
      </c>
      <c r="AU206" s="26" t="n">
        <f aca="false">IF(AB206&gt;0,IF(AS206&gt;=0,AB206-AS206,0),0)</f>
        <v>0</v>
      </c>
    </row>
    <row r="207" customFormat="false" ht="15" hidden="false" customHeight="false" outlineLevel="0" collapsed="false">
      <c r="A207" s="15" t="n">
        <v>203</v>
      </c>
      <c r="B207" s="17"/>
      <c r="C207" s="17"/>
      <c r="D207" s="17"/>
      <c r="E207" s="17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R207" s="21" t="n">
        <f aca="false">IF(SUM(F207:P207)&gt;0,ROUND(AVERAGE(F207:P207),4),0)</f>
        <v>0</v>
      </c>
      <c r="T207" s="22" t="n">
        <v>0</v>
      </c>
      <c r="V207" s="29"/>
      <c r="X207" s="26" t="n">
        <f aca="false">IF(T207&gt;0,T207,R207)*V207</f>
        <v>0</v>
      </c>
      <c r="Z207" s="27"/>
      <c r="AA207" s="17"/>
      <c r="AB207" s="26" t="n">
        <f aca="false">IF(Z207="",0,IF(AA207="",SUMIF($B$5:$B$220,"="&amp;Z207,$X$5:$X$220),SUMIFS($X$5:$X$220, $B$5:$B$220, "="&amp;Z207, $C$5:$C$220,"="&amp;AA207)))</f>
        <v>0</v>
      </c>
      <c r="AD207" s="29"/>
      <c r="AF207" s="17"/>
      <c r="AG207" s="26" t="n">
        <f aca="false">IF(AF207="",0,SUMIF($AD$5:$AD$220,"="&amp;AF207,$X$5:$X$220))</f>
        <v>0</v>
      </c>
      <c r="AI207" s="20"/>
      <c r="AJ207" s="26" t="n">
        <f aca="false">AI207*V207</f>
        <v>0</v>
      </c>
      <c r="AK207" s="30" t="n">
        <f aca="false">IF(X207&gt;0,IF(AJ207&gt;=0,AJ207-X207,0),0)</f>
        <v>0</v>
      </c>
      <c r="AM207" s="17" t="n">
        <f aca="false">AF207</f>
        <v>0</v>
      </c>
      <c r="AN207" s="26" t="str">
        <f aca="false">IF(AM207="","",SUMIF($AD$5:$AD$220,"="&amp;AM207,$AJ$5:$AJ$220))</f>
        <v/>
      </c>
      <c r="AO207" s="26" t="e">
        <f aca="false">IF(AG207&gt;=0,IF(AN207&gt;=0,AG207-AN207,0),0)</f>
        <v>#VALUE!</v>
      </c>
      <c r="AQ207" s="27" t="n">
        <f aca="false">Z207</f>
        <v>0</v>
      </c>
      <c r="AR207" s="17" t="n">
        <f aca="false">AA207</f>
        <v>0</v>
      </c>
      <c r="AS207" s="26" t="str">
        <f aca="false">IF(AQ207="","",IF(AR207="",SUMIF($B$5:$B$220,"="&amp;AQ207,$AJ$5:$AJ$220),SUMIFS($AJ$5:$AJ$220, $B$5:$B$220, "="&amp;AQ207, $C$5:$C$220,"="&amp;AR207)))</f>
        <v/>
      </c>
      <c r="AT207" s="31" t="str">
        <f aca="false">IF(AU207&gt;0,"anular",IF(AU207&lt;0,"reforçar","nenhuma"))</f>
        <v>nenhuma</v>
      </c>
      <c r="AU207" s="26" t="n">
        <f aca="false">IF(AB207&gt;0,IF(AS207&gt;=0,AB207-AS207,0),0)</f>
        <v>0</v>
      </c>
    </row>
    <row r="208" customFormat="false" ht="15" hidden="false" customHeight="false" outlineLevel="0" collapsed="false">
      <c r="A208" s="15" t="n">
        <v>204</v>
      </c>
      <c r="B208" s="17"/>
      <c r="C208" s="17"/>
      <c r="D208" s="17"/>
      <c r="E208" s="17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R208" s="21" t="n">
        <f aca="false">IF(SUM(F208:P208)&gt;0,ROUND(AVERAGE(F208:P208),4),0)</f>
        <v>0</v>
      </c>
      <c r="T208" s="22" t="n">
        <v>0</v>
      </c>
      <c r="V208" s="29"/>
      <c r="X208" s="26" t="n">
        <f aca="false">IF(T208&gt;0,T208,R208)*V208</f>
        <v>0</v>
      </c>
      <c r="Z208" s="27"/>
      <c r="AA208" s="17"/>
      <c r="AB208" s="26" t="n">
        <f aca="false">IF(Z208="",0,IF(AA208="",SUMIF($B$5:$B$220,"="&amp;Z208,$X$5:$X$220),SUMIFS($X$5:$X$220, $B$5:$B$220, "="&amp;Z208, $C$5:$C$220,"="&amp;AA208)))</f>
        <v>0</v>
      </c>
      <c r="AD208" s="29"/>
      <c r="AF208" s="17"/>
      <c r="AG208" s="26" t="n">
        <f aca="false">IF(AF208="",0,SUMIF($AD$5:$AD$220,"="&amp;AF208,$X$5:$X$220))</f>
        <v>0</v>
      </c>
      <c r="AI208" s="20"/>
      <c r="AJ208" s="26" t="n">
        <f aca="false">AI208*V208</f>
        <v>0</v>
      </c>
      <c r="AK208" s="30" t="n">
        <f aca="false">IF(X208&gt;0,IF(AJ208&gt;=0,AJ208-X208,0),0)</f>
        <v>0</v>
      </c>
      <c r="AM208" s="17" t="n">
        <f aca="false">AF208</f>
        <v>0</v>
      </c>
      <c r="AN208" s="26" t="str">
        <f aca="false">IF(AM208="","",SUMIF($AD$5:$AD$220,"="&amp;AM208,$AJ$5:$AJ$220))</f>
        <v/>
      </c>
      <c r="AO208" s="26" t="e">
        <f aca="false">IF(AG208&gt;=0,IF(AN208&gt;=0,AG208-AN208,0),0)</f>
        <v>#VALUE!</v>
      </c>
      <c r="AQ208" s="27" t="n">
        <f aca="false">Z208</f>
        <v>0</v>
      </c>
      <c r="AR208" s="17" t="n">
        <f aca="false">AA208</f>
        <v>0</v>
      </c>
      <c r="AS208" s="26" t="str">
        <f aca="false">IF(AQ208="","",IF(AR208="",SUMIF($B$5:$B$220,"="&amp;AQ208,$AJ$5:$AJ$220),SUMIFS($AJ$5:$AJ$220, $B$5:$B$220, "="&amp;AQ208, $C$5:$C$220,"="&amp;AR208)))</f>
        <v/>
      </c>
      <c r="AT208" s="31" t="str">
        <f aca="false">IF(AU208&gt;0,"anular",IF(AU208&lt;0,"reforçar","nenhuma"))</f>
        <v>nenhuma</v>
      </c>
      <c r="AU208" s="26" t="n">
        <f aca="false">IF(AB208&gt;0,IF(AS208&gt;=0,AB208-AS208,0),0)</f>
        <v>0</v>
      </c>
    </row>
    <row r="209" customFormat="false" ht="15" hidden="false" customHeight="false" outlineLevel="0" collapsed="false">
      <c r="A209" s="15" t="n">
        <v>205</v>
      </c>
      <c r="B209" s="17"/>
      <c r="C209" s="17"/>
      <c r="D209" s="17"/>
      <c r="E209" s="17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R209" s="21" t="n">
        <f aca="false">IF(SUM(F209:P209)&gt;0,ROUND(AVERAGE(F209:P209),4),0)</f>
        <v>0</v>
      </c>
      <c r="T209" s="22" t="n">
        <v>0</v>
      </c>
      <c r="V209" s="29"/>
      <c r="X209" s="26" t="n">
        <f aca="false">IF(T209&gt;0,T209,R209)*V209</f>
        <v>0</v>
      </c>
      <c r="Z209" s="27"/>
      <c r="AA209" s="17"/>
      <c r="AB209" s="26" t="n">
        <f aca="false">IF(Z209="",0,IF(AA209="",SUMIF($B$5:$B$220,"="&amp;Z209,$X$5:$X$220),SUMIFS($X$5:$X$220, $B$5:$B$220, "="&amp;Z209, $C$5:$C$220,"="&amp;AA209)))</f>
        <v>0</v>
      </c>
      <c r="AD209" s="29"/>
      <c r="AF209" s="17"/>
      <c r="AG209" s="26" t="n">
        <f aca="false">IF(AF209="",0,SUMIF($AD$5:$AD$220,"="&amp;AF209,$X$5:$X$220))</f>
        <v>0</v>
      </c>
      <c r="AI209" s="20"/>
      <c r="AJ209" s="26" t="n">
        <f aca="false">AI209*V209</f>
        <v>0</v>
      </c>
      <c r="AK209" s="30" t="n">
        <f aca="false">IF(X209&gt;0,IF(AJ209&gt;=0,AJ209-X209,0),0)</f>
        <v>0</v>
      </c>
      <c r="AM209" s="17" t="n">
        <f aca="false">AF209</f>
        <v>0</v>
      </c>
      <c r="AN209" s="26" t="str">
        <f aca="false">IF(AM209="","",SUMIF($AD$5:$AD$220,"="&amp;AM209,$AJ$5:$AJ$220))</f>
        <v/>
      </c>
      <c r="AO209" s="26" t="e">
        <f aca="false">IF(AG209&gt;=0,IF(AN209&gt;=0,AG209-AN209,0),0)</f>
        <v>#VALUE!</v>
      </c>
      <c r="AQ209" s="27" t="n">
        <f aca="false">Z209</f>
        <v>0</v>
      </c>
      <c r="AR209" s="17" t="n">
        <f aca="false">AA209</f>
        <v>0</v>
      </c>
      <c r="AS209" s="26" t="str">
        <f aca="false">IF(AQ209="","",IF(AR209="",SUMIF($B$5:$B$220,"="&amp;AQ209,$AJ$5:$AJ$220),SUMIFS($AJ$5:$AJ$220, $B$5:$B$220, "="&amp;AQ209, $C$5:$C$220,"="&amp;AR209)))</f>
        <v/>
      </c>
      <c r="AT209" s="31" t="str">
        <f aca="false">IF(AU209&gt;0,"anular",IF(AU209&lt;0,"reforçar","nenhuma"))</f>
        <v>nenhuma</v>
      </c>
      <c r="AU209" s="26" t="n">
        <f aca="false">IF(AB209&gt;0,IF(AS209&gt;=0,AB209-AS209,0),0)</f>
        <v>0</v>
      </c>
    </row>
    <row r="210" customFormat="false" ht="15" hidden="false" customHeight="false" outlineLevel="0" collapsed="false">
      <c r="A210" s="15" t="n">
        <v>206</v>
      </c>
      <c r="B210" s="17"/>
      <c r="C210" s="17"/>
      <c r="D210" s="17"/>
      <c r="E210" s="17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R210" s="21" t="n">
        <f aca="false">IF(SUM(F210:P210)&gt;0,ROUND(AVERAGE(F210:P210),4),0)</f>
        <v>0</v>
      </c>
      <c r="T210" s="22" t="n">
        <v>0</v>
      </c>
      <c r="V210" s="29"/>
      <c r="X210" s="26" t="n">
        <f aca="false">IF(T210&gt;0,T210,R210)*V210</f>
        <v>0</v>
      </c>
      <c r="Z210" s="27"/>
      <c r="AA210" s="17"/>
      <c r="AB210" s="26" t="n">
        <f aca="false">IF(Z210="",0,IF(AA210="",SUMIF($B$5:$B$220,"="&amp;Z210,$X$5:$X$220),SUMIFS($X$5:$X$220, $B$5:$B$220, "="&amp;Z210, $C$5:$C$220,"="&amp;AA210)))</f>
        <v>0</v>
      </c>
      <c r="AD210" s="29"/>
      <c r="AF210" s="17"/>
      <c r="AG210" s="26" t="n">
        <f aca="false">IF(AF210="",0,SUMIF($AD$5:$AD$220,"="&amp;AF210,$X$5:$X$220))</f>
        <v>0</v>
      </c>
      <c r="AI210" s="20"/>
      <c r="AJ210" s="26" t="n">
        <f aca="false">AI210*V210</f>
        <v>0</v>
      </c>
      <c r="AK210" s="30" t="n">
        <f aca="false">IF(X210&gt;0,IF(AJ210&gt;=0,AJ210-X210,0),0)</f>
        <v>0</v>
      </c>
      <c r="AM210" s="17" t="n">
        <f aca="false">AF210</f>
        <v>0</v>
      </c>
      <c r="AN210" s="26" t="str">
        <f aca="false">IF(AM210="","",SUMIF($AD$5:$AD$220,"="&amp;AM210,$AJ$5:$AJ$220))</f>
        <v/>
      </c>
      <c r="AO210" s="26" t="e">
        <f aca="false">IF(AG210&gt;=0,IF(AN210&gt;=0,AG210-AN210,0),0)</f>
        <v>#VALUE!</v>
      </c>
      <c r="AQ210" s="27" t="n">
        <f aca="false">Z210</f>
        <v>0</v>
      </c>
      <c r="AR210" s="17" t="n">
        <f aca="false">AA210</f>
        <v>0</v>
      </c>
      <c r="AS210" s="26" t="str">
        <f aca="false">IF(AQ210="","",IF(AR210="",SUMIF($B$5:$B$220,"="&amp;AQ210,$AJ$5:$AJ$220),SUMIFS($AJ$5:$AJ$220, $B$5:$B$220, "="&amp;AQ210, $C$5:$C$220,"="&amp;AR210)))</f>
        <v/>
      </c>
      <c r="AT210" s="31" t="str">
        <f aca="false">IF(AU210&gt;0,"anular",IF(AU210&lt;0,"reforçar","nenhuma"))</f>
        <v>nenhuma</v>
      </c>
      <c r="AU210" s="26" t="n">
        <f aca="false">IF(AB210&gt;0,IF(AS210&gt;=0,AB210-AS210,0),0)</f>
        <v>0</v>
      </c>
    </row>
    <row r="211" customFormat="false" ht="15" hidden="false" customHeight="false" outlineLevel="0" collapsed="false">
      <c r="A211" s="15" t="n">
        <v>207</v>
      </c>
      <c r="B211" s="17"/>
      <c r="C211" s="17"/>
      <c r="D211" s="17"/>
      <c r="E211" s="17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R211" s="21" t="n">
        <f aca="false">IF(SUM(F211:P211)&gt;0,ROUND(AVERAGE(F211:P211),4),0)</f>
        <v>0</v>
      </c>
      <c r="T211" s="22" t="n">
        <v>0</v>
      </c>
      <c r="V211" s="29"/>
      <c r="X211" s="26" t="n">
        <f aca="false">IF(T211&gt;0,T211,R211)*V211</f>
        <v>0</v>
      </c>
      <c r="Z211" s="27"/>
      <c r="AA211" s="17"/>
      <c r="AB211" s="26" t="n">
        <f aca="false">IF(Z211="",0,IF(AA211="",SUMIF($B$5:$B$220,"="&amp;Z211,$X$5:$X$220),SUMIFS($X$5:$X$220, $B$5:$B$220, "="&amp;Z211, $C$5:$C$220,"="&amp;AA211)))</f>
        <v>0</v>
      </c>
      <c r="AD211" s="29"/>
      <c r="AF211" s="17"/>
      <c r="AG211" s="26" t="n">
        <f aca="false">IF(AF211="",0,SUMIF($AD$5:$AD$220,"="&amp;AF211,$X$5:$X$220))</f>
        <v>0</v>
      </c>
      <c r="AI211" s="20"/>
      <c r="AJ211" s="26" t="n">
        <f aca="false">AI211*V211</f>
        <v>0</v>
      </c>
      <c r="AK211" s="30" t="n">
        <f aca="false">IF(X211&gt;0,IF(AJ211&gt;=0,AJ211-X211,0),0)</f>
        <v>0</v>
      </c>
      <c r="AM211" s="17" t="n">
        <f aca="false">AF211</f>
        <v>0</v>
      </c>
      <c r="AN211" s="26" t="str">
        <f aca="false">IF(AM211="","",SUMIF($AD$5:$AD$220,"="&amp;AM211,$AJ$5:$AJ$220))</f>
        <v/>
      </c>
      <c r="AO211" s="26" t="e">
        <f aca="false">IF(AG211&gt;=0,IF(AN211&gt;=0,AG211-AN211,0),0)</f>
        <v>#VALUE!</v>
      </c>
      <c r="AQ211" s="27" t="n">
        <f aca="false">Z211</f>
        <v>0</v>
      </c>
      <c r="AR211" s="17" t="n">
        <f aca="false">AA211</f>
        <v>0</v>
      </c>
      <c r="AS211" s="26" t="str">
        <f aca="false">IF(AQ211="","",IF(AR211="",SUMIF($B$5:$B$220,"="&amp;AQ211,$AJ$5:$AJ$220),SUMIFS($AJ$5:$AJ$220, $B$5:$B$220, "="&amp;AQ211, $C$5:$C$220,"="&amp;AR211)))</f>
        <v/>
      </c>
      <c r="AT211" s="31" t="str">
        <f aca="false">IF(AU211&gt;0,"anular",IF(AU211&lt;0,"reforçar","nenhuma"))</f>
        <v>nenhuma</v>
      </c>
      <c r="AU211" s="26" t="n">
        <f aca="false">IF(AB211&gt;0,IF(AS211&gt;=0,AB211-AS211,0),0)</f>
        <v>0</v>
      </c>
    </row>
    <row r="212" customFormat="false" ht="15" hidden="false" customHeight="false" outlineLevel="0" collapsed="false">
      <c r="A212" s="15" t="n">
        <v>208</v>
      </c>
      <c r="B212" s="17"/>
      <c r="C212" s="17"/>
      <c r="D212" s="17"/>
      <c r="E212" s="17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R212" s="21" t="n">
        <f aca="false">IF(SUM(F212:P212)&gt;0,ROUND(AVERAGE(F212:P212),4),0)</f>
        <v>0</v>
      </c>
      <c r="T212" s="22" t="n">
        <v>0</v>
      </c>
      <c r="V212" s="29"/>
      <c r="X212" s="26" t="n">
        <f aca="false">IF(T212&gt;0,T212,R212)*V212</f>
        <v>0</v>
      </c>
      <c r="Z212" s="27"/>
      <c r="AA212" s="17"/>
      <c r="AB212" s="26" t="n">
        <f aca="false">IF(Z212="",0,IF(AA212="",SUMIF($B$5:$B$220,"="&amp;Z212,$X$5:$X$220),SUMIFS($X$5:$X$220, $B$5:$B$220, "="&amp;Z212, $C$5:$C$220,"="&amp;AA212)))</f>
        <v>0</v>
      </c>
      <c r="AD212" s="29"/>
      <c r="AF212" s="17"/>
      <c r="AG212" s="26" t="n">
        <f aca="false">IF(AF212="",0,SUMIF($AD$5:$AD$220,"="&amp;AF212,$X$5:$X$220))</f>
        <v>0</v>
      </c>
      <c r="AI212" s="20"/>
      <c r="AJ212" s="26" t="n">
        <f aca="false">AI212*V212</f>
        <v>0</v>
      </c>
      <c r="AK212" s="30" t="n">
        <f aca="false">IF(X212&gt;0,IF(AJ212&gt;=0,AJ212-X212,0),0)</f>
        <v>0</v>
      </c>
      <c r="AM212" s="17" t="n">
        <f aca="false">AF212</f>
        <v>0</v>
      </c>
      <c r="AN212" s="26" t="str">
        <f aca="false">IF(AM212="","",SUMIF($AD$5:$AD$220,"="&amp;AM212,$AJ$5:$AJ$220))</f>
        <v/>
      </c>
      <c r="AO212" s="26" t="e">
        <f aca="false">IF(AG212&gt;=0,IF(AN212&gt;=0,AG212-AN212,0),0)</f>
        <v>#VALUE!</v>
      </c>
      <c r="AQ212" s="27" t="n">
        <f aca="false">Z212</f>
        <v>0</v>
      </c>
      <c r="AR212" s="17" t="n">
        <f aca="false">AA212</f>
        <v>0</v>
      </c>
      <c r="AS212" s="26" t="str">
        <f aca="false">IF(AQ212="","",IF(AR212="",SUMIF($B$5:$B$220,"="&amp;AQ212,$AJ$5:$AJ$220),SUMIFS($AJ$5:$AJ$220, $B$5:$B$220, "="&amp;AQ212, $C$5:$C$220,"="&amp;AR212)))</f>
        <v/>
      </c>
      <c r="AT212" s="31" t="str">
        <f aca="false">IF(AU212&gt;0,"anular",IF(AU212&lt;0,"reforçar","nenhuma"))</f>
        <v>nenhuma</v>
      </c>
      <c r="AU212" s="26" t="n">
        <f aca="false">IF(AB212&gt;0,IF(AS212&gt;=0,AB212-AS212,0),0)</f>
        <v>0</v>
      </c>
    </row>
    <row r="213" customFormat="false" ht="15" hidden="false" customHeight="false" outlineLevel="0" collapsed="false">
      <c r="A213" s="15" t="n">
        <v>209</v>
      </c>
      <c r="B213" s="17"/>
      <c r="C213" s="17"/>
      <c r="D213" s="17"/>
      <c r="E213" s="17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R213" s="21" t="n">
        <f aca="false">IF(SUM(F213:P213)&gt;0,ROUND(AVERAGE(F213:P213),4),0)</f>
        <v>0</v>
      </c>
      <c r="T213" s="22" t="n">
        <v>0</v>
      </c>
      <c r="V213" s="29"/>
      <c r="X213" s="26" t="n">
        <f aca="false">IF(T213&gt;0,T213,R213)*V213</f>
        <v>0</v>
      </c>
      <c r="Z213" s="27"/>
      <c r="AA213" s="17"/>
      <c r="AB213" s="26" t="n">
        <f aca="false">IF(Z213="",0,IF(AA213="",SUMIF($B$5:$B$220,"="&amp;Z213,$X$5:$X$220),SUMIFS($X$5:$X$220, $B$5:$B$220, "="&amp;Z213, $C$5:$C$220,"="&amp;AA213)))</f>
        <v>0</v>
      </c>
      <c r="AD213" s="29"/>
      <c r="AF213" s="17"/>
      <c r="AG213" s="26" t="n">
        <f aca="false">IF(AF213="",0,SUMIF($AD$5:$AD$220,"="&amp;AF213,$X$5:$X$220))</f>
        <v>0</v>
      </c>
      <c r="AI213" s="20"/>
      <c r="AJ213" s="26" t="n">
        <f aca="false">AI213*V213</f>
        <v>0</v>
      </c>
      <c r="AK213" s="30" t="n">
        <f aca="false">IF(X213&gt;0,IF(AJ213&gt;=0,AJ213-X213,0),0)</f>
        <v>0</v>
      </c>
      <c r="AM213" s="17" t="n">
        <f aca="false">AF213</f>
        <v>0</v>
      </c>
      <c r="AN213" s="26" t="str">
        <f aca="false">IF(AM213="","",SUMIF($AD$5:$AD$220,"="&amp;AM213,$AJ$5:$AJ$220))</f>
        <v/>
      </c>
      <c r="AO213" s="26" t="e">
        <f aca="false">IF(AG213&gt;=0,IF(AN213&gt;=0,AG213-AN213,0),0)</f>
        <v>#VALUE!</v>
      </c>
      <c r="AQ213" s="27" t="n">
        <f aca="false">Z213</f>
        <v>0</v>
      </c>
      <c r="AR213" s="17" t="n">
        <f aca="false">AA213</f>
        <v>0</v>
      </c>
      <c r="AS213" s="26" t="str">
        <f aca="false">IF(AQ213="","",IF(AR213="",SUMIF($B$5:$B$220,"="&amp;AQ213,$AJ$5:$AJ$220),SUMIFS($AJ$5:$AJ$220, $B$5:$B$220, "="&amp;AQ213, $C$5:$C$220,"="&amp;AR213)))</f>
        <v/>
      </c>
      <c r="AT213" s="31" t="str">
        <f aca="false">IF(AU213&gt;0,"anular",IF(AU213&lt;0,"reforçar","nenhuma"))</f>
        <v>nenhuma</v>
      </c>
      <c r="AU213" s="26" t="n">
        <f aca="false">IF(AB213&gt;0,IF(AS213&gt;=0,AB213-AS213,0),0)</f>
        <v>0</v>
      </c>
    </row>
    <row r="214" customFormat="false" ht="15" hidden="false" customHeight="false" outlineLevel="0" collapsed="false">
      <c r="A214" s="15" t="n">
        <v>210</v>
      </c>
      <c r="B214" s="17"/>
      <c r="C214" s="17"/>
      <c r="D214" s="17"/>
      <c r="E214" s="17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R214" s="21" t="n">
        <f aca="false">IF(SUM(F214:P214)&gt;0,ROUND(AVERAGE(F214:P214),4),0)</f>
        <v>0</v>
      </c>
      <c r="T214" s="22" t="n">
        <v>0</v>
      </c>
      <c r="V214" s="29"/>
      <c r="X214" s="26" t="n">
        <f aca="false">IF(T214&gt;0,T214,R214)*V214</f>
        <v>0</v>
      </c>
      <c r="Z214" s="27"/>
      <c r="AA214" s="17"/>
      <c r="AB214" s="26" t="n">
        <f aca="false">IF(Z214="",0,IF(AA214="",SUMIF($B$5:$B$220,"="&amp;Z214,$X$5:$X$220),SUMIFS($X$5:$X$220, $B$5:$B$220, "="&amp;Z214, $C$5:$C$220,"="&amp;AA214)))</f>
        <v>0</v>
      </c>
      <c r="AD214" s="29"/>
      <c r="AF214" s="17"/>
      <c r="AG214" s="26" t="n">
        <f aca="false">IF(AF214="",0,SUMIF($AD$5:$AD$220,"="&amp;AF214,$X$5:$X$220))</f>
        <v>0</v>
      </c>
      <c r="AI214" s="20"/>
      <c r="AJ214" s="26" t="n">
        <f aca="false">AI214*V214</f>
        <v>0</v>
      </c>
      <c r="AK214" s="30" t="n">
        <f aca="false">IF(X214&gt;0,IF(AJ214&gt;=0,AJ214-X214,0),0)</f>
        <v>0</v>
      </c>
      <c r="AM214" s="17" t="n">
        <f aca="false">AF214</f>
        <v>0</v>
      </c>
      <c r="AN214" s="26" t="str">
        <f aca="false">IF(AM214="","",SUMIF($AD$5:$AD$220,"="&amp;AM214,$AJ$5:$AJ$220))</f>
        <v/>
      </c>
      <c r="AO214" s="26" t="e">
        <f aca="false">IF(AG214&gt;=0,IF(AN214&gt;=0,AG214-AN214,0),0)</f>
        <v>#VALUE!</v>
      </c>
      <c r="AQ214" s="27" t="n">
        <f aca="false">Z214</f>
        <v>0</v>
      </c>
      <c r="AR214" s="17" t="n">
        <f aca="false">AA214</f>
        <v>0</v>
      </c>
      <c r="AS214" s="26" t="str">
        <f aca="false">IF(AQ214="","",IF(AR214="",SUMIF($B$5:$B$220,"="&amp;AQ214,$AJ$5:$AJ$220),SUMIFS($AJ$5:$AJ$220, $B$5:$B$220, "="&amp;AQ214, $C$5:$C$220,"="&amp;AR214)))</f>
        <v/>
      </c>
      <c r="AT214" s="31" t="str">
        <f aca="false">IF(AU214&gt;0,"anular",IF(AU214&lt;0,"reforçar","nenhuma"))</f>
        <v>nenhuma</v>
      </c>
      <c r="AU214" s="26" t="n">
        <f aca="false">IF(AB214&gt;0,IF(AS214&gt;=0,AB214-AS214,0),0)</f>
        <v>0</v>
      </c>
    </row>
    <row r="215" customFormat="false" ht="15" hidden="false" customHeight="false" outlineLevel="0" collapsed="false">
      <c r="A215" s="15" t="n">
        <v>211</v>
      </c>
      <c r="B215" s="17"/>
      <c r="C215" s="17"/>
      <c r="D215" s="17"/>
      <c r="E215" s="17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R215" s="21" t="n">
        <f aca="false">IF(SUM(F215:P215)&gt;0,ROUND(AVERAGE(F215:P215),4),0)</f>
        <v>0</v>
      </c>
      <c r="T215" s="22" t="n">
        <v>0</v>
      </c>
      <c r="V215" s="29"/>
      <c r="X215" s="26" t="n">
        <f aca="false">IF(T215&gt;0,T215,R215)*V215</f>
        <v>0</v>
      </c>
      <c r="Z215" s="27"/>
      <c r="AA215" s="17"/>
      <c r="AB215" s="26" t="n">
        <f aca="false">IF(Z215="",0,IF(AA215="",SUMIF($B$5:$B$220,"="&amp;Z215,$X$5:$X$220),SUMIFS($X$5:$X$220, $B$5:$B$220, "="&amp;Z215, $C$5:$C$220,"="&amp;AA215)))</f>
        <v>0</v>
      </c>
      <c r="AD215" s="29"/>
      <c r="AF215" s="17"/>
      <c r="AG215" s="26" t="n">
        <f aca="false">IF(AF215="",0,SUMIF($AD$5:$AD$220,"="&amp;AF215,$X$5:$X$220))</f>
        <v>0</v>
      </c>
      <c r="AI215" s="20"/>
      <c r="AJ215" s="26" t="n">
        <f aca="false">AI215*V215</f>
        <v>0</v>
      </c>
      <c r="AK215" s="30" t="n">
        <f aca="false">IF(X215&gt;0,IF(AJ215&gt;=0,AJ215-X215,0),0)</f>
        <v>0</v>
      </c>
      <c r="AM215" s="17" t="n">
        <f aca="false">AF215</f>
        <v>0</v>
      </c>
      <c r="AN215" s="26" t="str">
        <f aca="false">IF(AM215="","",SUMIF($AD$5:$AD$220,"="&amp;AM215,$AJ$5:$AJ$220))</f>
        <v/>
      </c>
      <c r="AO215" s="26" t="e">
        <f aca="false">IF(AG215&gt;=0,IF(AN215&gt;=0,AG215-AN215,0),0)</f>
        <v>#VALUE!</v>
      </c>
      <c r="AQ215" s="27" t="n">
        <f aca="false">Z215</f>
        <v>0</v>
      </c>
      <c r="AR215" s="17" t="n">
        <f aca="false">AA215</f>
        <v>0</v>
      </c>
      <c r="AS215" s="26" t="str">
        <f aca="false">IF(AQ215="","",IF(AR215="",SUMIF($B$5:$B$220,"="&amp;AQ215,$AJ$5:$AJ$220),SUMIFS($AJ$5:$AJ$220, $B$5:$B$220, "="&amp;AQ215, $C$5:$C$220,"="&amp;AR215)))</f>
        <v/>
      </c>
      <c r="AT215" s="31" t="str">
        <f aca="false">IF(AU215&gt;0,"anular",IF(AU215&lt;0,"reforçar","nenhuma"))</f>
        <v>nenhuma</v>
      </c>
      <c r="AU215" s="26" t="n">
        <f aca="false">IF(AB215&gt;0,IF(AS215&gt;=0,AB215-AS215,0),0)</f>
        <v>0</v>
      </c>
    </row>
    <row r="216" customFormat="false" ht="15" hidden="false" customHeight="false" outlineLevel="0" collapsed="false">
      <c r="A216" s="15" t="n">
        <v>212</v>
      </c>
      <c r="B216" s="17"/>
      <c r="C216" s="17"/>
      <c r="D216" s="17"/>
      <c r="E216" s="17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R216" s="21" t="n">
        <f aca="false">IF(SUM(F216:P216)&gt;0,ROUND(AVERAGE(F216:P216),4),0)</f>
        <v>0</v>
      </c>
      <c r="T216" s="22" t="n">
        <v>0</v>
      </c>
      <c r="V216" s="29"/>
      <c r="X216" s="26" t="n">
        <f aca="false">IF(T216&gt;0,T216,R216)*V216</f>
        <v>0</v>
      </c>
      <c r="Z216" s="27"/>
      <c r="AA216" s="17"/>
      <c r="AB216" s="26" t="n">
        <f aca="false">IF(Z216="",0,IF(AA216="",SUMIF($B$5:$B$220,"="&amp;Z216,$X$5:$X$220),SUMIFS($X$5:$X$220, $B$5:$B$220, "="&amp;Z216, $C$5:$C$220,"="&amp;AA216)))</f>
        <v>0</v>
      </c>
      <c r="AD216" s="29"/>
      <c r="AF216" s="17"/>
      <c r="AG216" s="26" t="n">
        <f aca="false">IF(AF216="",0,SUMIF($AD$5:$AD$220,"="&amp;AF216,$X$5:$X$220))</f>
        <v>0</v>
      </c>
      <c r="AI216" s="20"/>
      <c r="AJ216" s="26" t="n">
        <f aca="false">AI216*V216</f>
        <v>0</v>
      </c>
      <c r="AK216" s="30" t="n">
        <f aca="false">IF(X216&gt;0,IF(AJ216&gt;=0,AJ216-X216,0),0)</f>
        <v>0</v>
      </c>
      <c r="AM216" s="17" t="n">
        <f aca="false">AF216</f>
        <v>0</v>
      </c>
      <c r="AN216" s="26" t="str">
        <f aca="false">IF(AM216="","",SUMIF($AD$5:$AD$220,"="&amp;AM216,$AJ$5:$AJ$220))</f>
        <v/>
      </c>
      <c r="AO216" s="26" t="e">
        <f aca="false">IF(AG216&gt;=0,IF(AN216&gt;=0,AG216-AN216,0),0)</f>
        <v>#VALUE!</v>
      </c>
      <c r="AQ216" s="27" t="n">
        <f aca="false">Z216</f>
        <v>0</v>
      </c>
      <c r="AR216" s="17" t="n">
        <f aca="false">AA216</f>
        <v>0</v>
      </c>
      <c r="AS216" s="26" t="str">
        <f aca="false">IF(AQ216="","",IF(AR216="",SUMIF($B$5:$B$220,"="&amp;AQ216,$AJ$5:$AJ$220),SUMIFS($AJ$5:$AJ$220, $B$5:$B$220, "="&amp;AQ216, $C$5:$C$220,"="&amp;AR216)))</f>
        <v/>
      </c>
      <c r="AT216" s="31" t="str">
        <f aca="false">IF(AU216&gt;0,"anular",IF(AU216&lt;0,"reforçar","nenhuma"))</f>
        <v>nenhuma</v>
      </c>
      <c r="AU216" s="26" t="n">
        <f aca="false">IF(AB216&gt;0,IF(AS216&gt;=0,AB216-AS216,0),0)</f>
        <v>0</v>
      </c>
    </row>
    <row r="217" customFormat="false" ht="15" hidden="false" customHeight="false" outlineLevel="0" collapsed="false">
      <c r="A217" s="15" t="n">
        <v>213</v>
      </c>
      <c r="B217" s="17"/>
      <c r="C217" s="17"/>
      <c r="D217" s="17"/>
      <c r="E217" s="17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R217" s="21" t="n">
        <f aca="false">IF(SUM(F217:P217)&gt;0,ROUND(AVERAGE(F217:P217),4),0)</f>
        <v>0</v>
      </c>
      <c r="T217" s="22" t="n">
        <v>0</v>
      </c>
      <c r="V217" s="29"/>
      <c r="X217" s="26" t="n">
        <f aca="false">IF(T217&gt;0,T217,R217)*V217</f>
        <v>0</v>
      </c>
      <c r="Z217" s="27"/>
      <c r="AA217" s="17"/>
      <c r="AB217" s="26" t="n">
        <f aca="false">IF(Z217="",0,IF(AA217="",SUMIF($B$5:$B$220,"="&amp;Z217,$X$5:$X$220),SUMIFS($X$5:$X$220, $B$5:$B$220, "="&amp;Z217, $C$5:$C$220,"="&amp;AA217)))</f>
        <v>0</v>
      </c>
      <c r="AD217" s="29"/>
      <c r="AF217" s="17"/>
      <c r="AG217" s="26" t="n">
        <f aca="false">IF(AF217="",0,SUMIF($AD$5:$AD$220,"="&amp;AF217,$X$5:$X$220))</f>
        <v>0</v>
      </c>
      <c r="AI217" s="20"/>
      <c r="AJ217" s="26" t="n">
        <f aca="false">AI217*V217</f>
        <v>0</v>
      </c>
      <c r="AK217" s="30" t="n">
        <f aca="false">IF(X217&gt;0,IF(AJ217&gt;=0,AJ217-X217,0),0)</f>
        <v>0</v>
      </c>
      <c r="AM217" s="17" t="n">
        <f aca="false">AF217</f>
        <v>0</v>
      </c>
      <c r="AN217" s="26" t="str">
        <f aca="false">IF(AM217="","",SUMIF($AD$5:$AD$220,"="&amp;AM217,$AJ$5:$AJ$220))</f>
        <v/>
      </c>
      <c r="AO217" s="26" t="e">
        <f aca="false">IF(AG217&gt;=0,IF(AN217&gt;=0,AG217-AN217,0),0)</f>
        <v>#VALUE!</v>
      </c>
      <c r="AQ217" s="27" t="n">
        <f aca="false">Z217</f>
        <v>0</v>
      </c>
      <c r="AR217" s="17" t="n">
        <f aca="false">AA217</f>
        <v>0</v>
      </c>
      <c r="AS217" s="26" t="str">
        <f aca="false">IF(AQ217="","",IF(AR217="",SUMIF($B$5:$B$220,"="&amp;AQ217,$AJ$5:$AJ$220),SUMIFS($AJ$5:$AJ$220, $B$5:$B$220, "="&amp;AQ217, $C$5:$C$220,"="&amp;AR217)))</f>
        <v/>
      </c>
      <c r="AT217" s="31" t="str">
        <f aca="false">IF(AU217&gt;0,"anular",IF(AU217&lt;0,"reforçar","nenhuma"))</f>
        <v>nenhuma</v>
      </c>
      <c r="AU217" s="26" t="n">
        <f aca="false">IF(AB217&gt;0,IF(AS217&gt;=0,AB217-AS217,0),0)</f>
        <v>0</v>
      </c>
    </row>
    <row r="218" customFormat="false" ht="15" hidden="false" customHeight="false" outlineLevel="0" collapsed="false">
      <c r="A218" s="15" t="n">
        <v>214</v>
      </c>
      <c r="B218" s="17"/>
      <c r="C218" s="17"/>
      <c r="D218" s="17"/>
      <c r="E218" s="17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R218" s="21" t="n">
        <f aca="false">IF(SUM(F218:P218)&gt;0,ROUND(AVERAGE(F218:P218),4),0)</f>
        <v>0</v>
      </c>
      <c r="T218" s="22" t="n">
        <v>0</v>
      </c>
      <c r="V218" s="29"/>
      <c r="X218" s="26" t="n">
        <f aca="false">IF(T218&gt;0,T218,R218)*V218</f>
        <v>0</v>
      </c>
      <c r="Z218" s="27"/>
      <c r="AA218" s="17"/>
      <c r="AB218" s="26" t="n">
        <f aca="false">IF(Z218="",0,IF(AA218="",SUMIF($B$5:$B$220,"="&amp;Z218,$X$5:$X$220),SUMIFS($X$5:$X$220, $B$5:$B$220, "="&amp;Z218, $C$5:$C$220,"="&amp;AA218)))</f>
        <v>0</v>
      </c>
      <c r="AD218" s="29"/>
      <c r="AF218" s="17"/>
      <c r="AG218" s="26" t="n">
        <f aca="false">IF(AF218="",0,SUMIF($AD$5:$AD$220,"="&amp;AF218,$X$5:$X$220))</f>
        <v>0</v>
      </c>
      <c r="AI218" s="20"/>
      <c r="AJ218" s="26" t="n">
        <f aca="false">AI218*V218</f>
        <v>0</v>
      </c>
      <c r="AK218" s="30" t="n">
        <f aca="false">IF(X218&gt;0,IF(AJ218&gt;=0,AJ218-X218,0),0)</f>
        <v>0</v>
      </c>
      <c r="AM218" s="17" t="n">
        <f aca="false">AF218</f>
        <v>0</v>
      </c>
      <c r="AN218" s="26" t="str">
        <f aca="false">IF(AM218="","",SUMIF($AD$5:$AD$220,"="&amp;AM218,$AJ$5:$AJ$220))</f>
        <v/>
      </c>
      <c r="AO218" s="26" t="e">
        <f aca="false">IF(AG218&gt;=0,IF(AN218&gt;=0,AG218-AN218,0),0)</f>
        <v>#VALUE!</v>
      </c>
      <c r="AQ218" s="27" t="n">
        <f aca="false">Z218</f>
        <v>0</v>
      </c>
      <c r="AR218" s="17" t="n">
        <f aca="false">AA218</f>
        <v>0</v>
      </c>
      <c r="AS218" s="26" t="str">
        <f aca="false">IF(AQ218="","",IF(AR218="",SUMIF($B$5:$B$220,"="&amp;AQ218,$AJ$5:$AJ$220),SUMIFS($AJ$5:$AJ$220, $B$5:$B$220, "="&amp;AQ218, $C$5:$C$220,"="&amp;AR218)))</f>
        <v/>
      </c>
      <c r="AT218" s="31" t="str">
        <f aca="false">IF(AU218&gt;0,"anular",IF(AU218&lt;0,"reforçar","nenhuma"))</f>
        <v>nenhuma</v>
      </c>
      <c r="AU218" s="26" t="n">
        <f aca="false">IF(AB218&gt;0,IF(AS218&gt;=0,AB218-AS218,0),0)</f>
        <v>0</v>
      </c>
    </row>
    <row r="219" customFormat="false" ht="15" hidden="false" customHeight="false" outlineLevel="0" collapsed="false">
      <c r="A219" s="15" t="n">
        <v>215</v>
      </c>
      <c r="B219" s="17"/>
      <c r="C219" s="17"/>
      <c r="D219" s="17"/>
      <c r="E219" s="17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R219" s="21" t="n">
        <f aca="false">IF(SUM(F219:P219)&gt;0,ROUND(AVERAGE(F219:P219),4),0)</f>
        <v>0</v>
      </c>
      <c r="T219" s="22" t="n">
        <v>0</v>
      </c>
      <c r="V219" s="29"/>
      <c r="X219" s="26" t="n">
        <f aca="false">IF(T219&gt;0,T219,R219)*V219</f>
        <v>0</v>
      </c>
      <c r="Z219" s="27"/>
      <c r="AA219" s="17"/>
      <c r="AB219" s="26" t="n">
        <f aca="false">IF(Z219="",0,IF(AA219="",SUMIF($B$5:$B$220,"="&amp;Z219,$X$5:$X$220),SUMIFS($X$5:$X$220, $B$5:$B$220, "="&amp;Z219, $C$5:$C$220,"="&amp;AA219)))</f>
        <v>0</v>
      </c>
      <c r="AD219" s="29"/>
      <c r="AF219" s="17"/>
      <c r="AG219" s="26" t="n">
        <f aca="false">IF(AF219="",0,SUMIF($AD$5:$AD$220,"="&amp;AF219,$X$5:$X$220))</f>
        <v>0</v>
      </c>
      <c r="AI219" s="20"/>
      <c r="AJ219" s="26" t="n">
        <f aca="false">AI219*V219</f>
        <v>0</v>
      </c>
      <c r="AK219" s="30" t="n">
        <f aca="false">IF(X219&gt;0,IF(AJ219&gt;=0,AJ219-X219,0),0)</f>
        <v>0</v>
      </c>
      <c r="AM219" s="17" t="n">
        <f aca="false">AF219</f>
        <v>0</v>
      </c>
      <c r="AN219" s="26" t="str">
        <f aca="false">IF(AM219="","",SUMIF($AD$5:$AD$220,"="&amp;AM219,$AJ$5:$AJ$220))</f>
        <v/>
      </c>
      <c r="AO219" s="26" t="e">
        <f aca="false">IF(AG219&gt;=0,IF(AN219&gt;=0,AG219-AN219,0),0)</f>
        <v>#VALUE!</v>
      </c>
      <c r="AQ219" s="27" t="n">
        <f aca="false">Z219</f>
        <v>0</v>
      </c>
      <c r="AR219" s="17" t="n">
        <f aca="false">AA219</f>
        <v>0</v>
      </c>
      <c r="AS219" s="26" t="str">
        <f aca="false">IF(AQ219="","",IF(AR219="",SUMIF($B$5:$B$220,"="&amp;AQ219,$AJ$5:$AJ$220),SUMIFS($AJ$5:$AJ$220, $B$5:$B$220, "="&amp;AQ219, $C$5:$C$220,"="&amp;AR219)))</f>
        <v/>
      </c>
      <c r="AT219" s="31" t="str">
        <f aca="false">IF(AU219&gt;0,"anular",IF(AU219&lt;0,"reforçar","nenhuma"))</f>
        <v>nenhuma</v>
      </c>
      <c r="AU219" s="26" t="n">
        <f aca="false">IF(AB219&gt;0,IF(AS219&gt;=0,AB219-AS219,0),0)</f>
        <v>0</v>
      </c>
    </row>
    <row r="220" customFormat="false" ht="15" hidden="false" customHeight="false" outlineLevel="0" collapsed="false">
      <c r="A220" s="15" t="n">
        <v>216</v>
      </c>
      <c r="B220" s="17"/>
      <c r="C220" s="17"/>
      <c r="D220" s="17"/>
      <c r="E220" s="17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R220" s="21" t="n">
        <f aca="false">IF(SUM(F220:P220)&gt;0,ROUND(AVERAGE(F220:P220),4),0)</f>
        <v>0</v>
      </c>
      <c r="T220" s="22" t="n">
        <v>0</v>
      </c>
      <c r="V220" s="29"/>
      <c r="X220" s="26" t="n">
        <f aca="false">IF(T220&gt;0,T220,R220)*V220</f>
        <v>0</v>
      </c>
      <c r="Z220" s="27"/>
      <c r="AA220" s="17"/>
      <c r="AB220" s="26" t="n">
        <f aca="false">IF(Z220="",0,IF(AA220="",SUMIF($B$5:$B$220,"="&amp;Z220,$X$5:$X$220),SUMIFS($X$5:$X$220, $B$5:$B$220, "="&amp;Z220, $C$5:$C$220,"="&amp;AA220)))</f>
        <v>0</v>
      </c>
      <c r="AD220" s="29"/>
      <c r="AF220" s="17"/>
      <c r="AG220" s="26" t="n">
        <f aca="false">IF(AF220="",0,SUMIF($AD$5:$AD$220,"="&amp;AF220,$X$5:$X$220))</f>
        <v>0</v>
      </c>
      <c r="AI220" s="20"/>
      <c r="AJ220" s="26" t="n">
        <f aca="false">AI220*V220</f>
        <v>0</v>
      </c>
      <c r="AK220" s="30" t="n">
        <f aca="false">IF(X220&gt;0,IF(AJ220&gt;=0,AJ220-X220,0),0)</f>
        <v>0</v>
      </c>
      <c r="AM220" s="17" t="n">
        <f aca="false">AF220</f>
        <v>0</v>
      </c>
      <c r="AN220" s="26" t="str">
        <f aca="false">IF(AM220="","",SUMIF($AD$5:$AD$220,"="&amp;AM220,$AJ$5:$AJ$220))</f>
        <v/>
      </c>
      <c r="AO220" s="26" t="e">
        <f aca="false">IF(AG220&gt;=0,IF(AN220&gt;=0,AG220-AN220,0),0)</f>
        <v>#VALUE!</v>
      </c>
      <c r="AQ220" s="27" t="n">
        <f aca="false">Z220</f>
        <v>0</v>
      </c>
      <c r="AR220" s="17" t="n">
        <f aca="false">AA220</f>
        <v>0</v>
      </c>
      <c r="AS220" s="26" t="str">
        <f aca="false">IF(AQ220="","",IF(AR220="",SUMIF($B$5:$B$220,"="&amp;AQ220,$AJ$5:$AJ$220),SUMIFS($AJ$5:$AJ$220, $B$5:$B$220, "="&amp;AQ220, $C$5:$C$220,"="&amp;AR220)))</f>
        <v/>
      </c>
      <c r="AT220" s="31" t="str">
        <f aca="false">IF(AU220&gt;0,"anular",IF(AU220&lt;0,"reforçar","nenhuma"))</f>
        <v>nenhuma</v>
      </c>
      <c r="AU220" s="26" t="n">
        <f aca="false">IF(AB220&gt;0,IF(AS220&gt;=0,AB220-AS220,0),0)</f>
        <v>0</v>
      </c>
    </row>
    <row r="221" customFormat="false" ht="15" hidden="false" customHeight="false" outlineLevel="0" collapsed="false">
      <c r="A221" s="3" t="s">
        <v>25</v>
      </c>
      <c r="B221" s="42"/>
      <c r="C221" s="42"/>
      <c r="D221" s="42"/>
      <c r="E221" s="42"/>
      <c r="F221" s="26" t="n">
        <f aca="false">SUM(F5:F220)</f>
        <v>0</v>
      </c>
      <c r="G221" s="26" t="n">
        <f aca="false">SUM(G5:G220)</f>
        <v>0</v>
      </c>
      <c r="H221" s="26" t="n">
        <f aca="false">SUM(H5:H220)</f>
        <v>0</v>
      </c>
      <c r="I221" s="26" t="n">
        <f aca="false">SUM(I5:I220)</f>
        <v>0</v>
      </c>
      <c r="J221" s="26"/>
      <c r="K221" s="26" t="n">
        <f aca="false">SUM(K5:K220)</f>
        <v>0</v>
      </c>
      <c r="L221" s="26" t="n">
        <f aca="false">SUM(L5:L220)</f>
        <v>0</v>
      </c>
      <c r="M221" s="26"/>
      <c r="N221" s="26" t="n">
        <f aca="false">SUM(N5:N220)</f>
        <v>0</v>
      </c>
      <c r="O221" s="26"/>
      <c r="P221" s="26"/>
      <c r="X221" s="26" t="n">
        <f aca="false">SUM(X5:X220)</f>
        <v>0</v>
      </c>
      <c r="AB221" s="26" t="n">
        <f aca="false">SUM(AB5:AB220)</f>
        <v>0</v>
      </c>
      <c r="AG221" s="26" t="n">
        <f aca="false">SUM(AG5:AG220)</f>
        <v>0</v>
      </c>
      <c r="AJ221" s="26" t="n">
        <f aca="false">SUM(AJ5:AJ220)</f>
        <v>0</v>
      </c>
      <c r="AK221" s="26" t="n">
        <f aca="false">SUM(AK5:AK220)</f>
        <v>0</v>
      </c>
      <c r="AN221" s="26" t="n">
        <f aca="false">SUM(AN5:AN220)</f>
        <v>0</v>
      </c>
      <c r="AO221" s="26" t="e">
        <f aca="false">SUM(AO5:AO220)</f>
        <v>#VALUE!</v>
      </c>
      <c r="AS221" s="26" t="n">
        <f aca="false">SUM(AS5:AS220)</f>
        <v>0</v>
      </c>
      <c r="AU221" s="26" t="n">
        <f aca="false">SUM(AU5:AU220)</f>
        <v>0</v>
      </c>
    </row>
  </sheetData>
  <mergeCells count="32">
    <mergeCell ref="A2:P2"/>
    <mergeCell ref="R2:R4"/>
    <mergeCell ref="T2:T4"/>
    <mergeCell ref="V2:V4"/>
    <mergeCell ref="X2:X4"/>
    <mergeCell ref="Z2:AB2"/>
    <mergeCell ref="AD2:AD4"/>
    <mergeCell ref="AF2:AG2"/>
    <mergeCell ref="AI2:AO2"/>
    <mergeCell ref="AQ2:AU2"/>
    <mergeCell ref="A3:A4"/>
    <mergeCell ref="B3:B4"/>
    <mergeCell ref="C3:C4"/>
    <mergeCell ref="D3:D4"/>
    <mergeCell ref="E3:E4"/>
    <mergeCell ref="F3:P3"/>
    <mergeCell ref="Z3:Z4"/>
    <mergeCell ref="AA3:AA4"/>
    <mergeCell ref="AB3:AB4"/>
    <mergeCell ref="AF3:AF4"/>
    <mergeCell ref="AG3:AG4"/>
    <mergeCell ref="AI3:AI4"/>
    <mergeCell ref="AJ3:AJ4"/>
    <mergeCell ref="AK3:AK4"/>
    <mergeCell ref="AM3:AM4"/>
    <mergeCell ref="AN3:AN4"/>
    <mergeCell ref="AO3:AO4"/>
    <mergeCell ref="AQ3:AQ4"/>
    <mergeCell ref="AR3:AR4"/>
    <mergeCell ref="AS3:AS4"/>
    <mergeCell ref="AT3:AT4"/>
    <mergeCell ref="AU3:AU4"/>
  </mergeCells>
  <conditionalFormatting sqref="AK5:AK220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LibreOffice/25.2.3.2$Linux_X86_64 LibreOffice_project/520$Build-2</Application>
  <AppVersion>15.0000</AppVersion>
  <Company>FFCLRP - USP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2015-01-15T12:38:10Z</dcterms:created>
  <dc:creator>Eduardo</dc:creator>
  <dc:description/>
  <dc:language>pt-BR</dc:language>
  <cp:lastModifiedBy/>
  <dcterms:modified xsi:type="dcterms:W3CDTF">2026-05-07T17:15:55Z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